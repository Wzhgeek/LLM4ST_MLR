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80cb03c3e74a45" /></Relationships>
</file>

<file path=xl/workbook.xml><?xml version="1.0" encoding="utf-8"?>
<x:workbook xmlns:x="http://schemas.openxmlformats.org/spreadsheetml/2006/main">
  <x:sheets>
    <x:sheet xmlns:r="http://schemas.openxmlformats.org/officeDocument/2006/relationships" name="00_README" sheetId="1" r:id="R0684aa689f3744e0"/>
    <x:sheet xmlns:r="http://schemas.openxmlformats.org/officeDocument/2006/relationships" name="01_Model_Uses" sheetId="2" r:id="R688a1757a403462d"/>
    <x:sheet xmlns:r="http://schemas.openxmlformats.org/officeDocument/2006/relationships" name="02_Config_Normalized" sheetId="3" r:id="R468cef641c244647"/>
    <x:sheet xmlns:r="http://schemas.openxmlformats.org/officeDocument/2006/relationships" name="03_Study_Config" sheetId="4" r:id="R032a335980f94b3c"/>
    <x:sheet xmlns:r="http://schemas.openxmlformats.org/officeDocument/2006/relationships" name="04_Reproducibility" sheetId="5" r:id="R860bb0a9fddd4083"/>
    <x:sheet xmlns:r="http://schemas.openxmlformats.org/officeDocument/2006/relationships" name="05_Config_Summary" sheetId="6" r:id="R4bbfd1e7976e4dca"/>
    <x:sheet xmlns:r="http://schemas.openxmlformats.org/officeDocument/2006/relationships" name="06_Reporting_Summary" sheetId="7" r:id="R641e826ac61f4441"/>
    <x:sheet xmlns:r="http://schemas.openxmlformats.org/officeDocument/2006/relationships" name="07_Memberships" sheetId="8" r:id="R2d165cb754b74579"/>
    <x:sheet xmlns:r="http://schemas.openxmlformats.org/officeDocument/2006/relationships" name="08_Coding_Rules" sheetId="9" r:id="Rc721f56efca345c4"/>
    <x:sheet xmlns:r="http://schemas.openxmlformats.org/officeDocument/2006/relationships" name="09_Resource_Access" sheetId="10" r:id="R5915cc11a9f1440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3">
    <x:font>
      <x:sz val="11"/>
      <x:name val="Carlito"/>
    </x:font>
    <x:font>
      <x:sz val="10"/>
      <x:color rgb="FF202A32"/>
      <x:name val="Arial"/>
    </x:font>
    <x:font>
      <x:b/>
      <x:sz val="10"/>
      <x:color rgb="FFFFFFFF"/>
      <x:name val="Arial"/>
    </x:font>
  </x:fonts>
  <x:fills count="3">
    <x:fill>
      <x:patternFill patternType="none"/>
    </x:fill>
    <x:fill>
      <x:patternFill patternType="gray125"/>
    </x:fill>
    <x:fill>
      <x:patternFill patternType="solid">
        <x:fgColor rgb="FF203B4A"/>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423c945aa74f90" /><Relationship Type="http://schemas.openxmlformats.org/officeDocument/2006/relationships/theme" Target="/xl/theme/theme1.xml" Id="Rebb97b0076384cf8" /><Relationship Type="http://schemas.openxmlformats.org/officeDocument/2006/relationships/sharedStrings" Target="/xl/sharedStrings.xml" Id="R48d6024351664b6c" /><Relationship Type="http://schemas.openxmlformats.org/officeDocument/2006/relationships/worksheet" Target="/xl/worksheets/sheet1.xml" Id="R0684aa689f3744e0" /><Relationship Type="http://schemas.openxmlformats.org/officeDocument/2006/relationships/worksheet" Target="/xl/worksheets/sheet2.xml" Id="R688a1757a403462d" /><Relationship Type="http://schemas.openxmlformats.org/officeDocument/2006/relationships/worksheet" Target="/xl/worksheets/sheet3.xml" Id="R468cef641c244647" /><Relationship Type="http://schemas.openxmlformats.org/officeDocument/2006/relationships/worksheet" Target="/xl/worksheets/sheet4.xml" Id="R032a335980f94b3c" /><Relationship Type="http://schemas.openxmlformats.org/officeDocument/2006/relationships/worksheet" Target="/xl/worksheets/sheet5.xml" Id="R860bb0a9fddd4083" /><Relationship Type="http://schemas.openxmlformats.org/officeDocument/2006/relationships/worksheet" Target="/xl/worksheets/sheet6.xml" Id="R4bbfd1e7976e4dca" /><Relationship Type="http://schemas.openxmlformats.org/officeDocument/2006/relationships/worksheet" Target="/xl/worksheets/sheet7.xml" Id="R641e826ac61f4441" /><Relationship Type="http://schemas.openxmlformats.org/officeDocument/2006/relationships/worksheet" Target="/xl/worksheets/sheet8.xml" Id="R2d165cb754b74579" /><Relationship Type="http://schemas.openxmlformats.org/officeDocument/2006/relationships/worksheet" Target="/xl/worksheets/sheet9.xml" Id="Rc721f56efca345c4" /><Relationship Type="http://schemas.openxmlformats.org/officeDocument/2006/relationships/worksheet" Target="/xl/worksheets/sheet10.xml" Id="R5915cc11a9f1440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1" hidden="0" customWidth="1"/>
    <x:col min="2" max="2" width="90" hidden="0" customWidth="1"/>
  </x:cols>
  <x:sheetData>
    <x:row r="1" ht="38" customHeight="1">
      <x:c r="A1" s="5" t="str">
        <x:v>LLM4ST model configuration and reporting</x:v>
      </x:c>
      <x:c r="B1" s="5"/>
    </x:row>
    <x:row r="2" ht="36" customHeight="1">
      <x:c r="A2" s="6" t="str">
        <x:v>Included sources</x:v>
      </x:c>
      <x:c r="B2" s="6" t="n">
        <x:v>61</x:v>
      </x:c>
    </x:row>
    <x:row r="3" ht="36" customHeight="1">
      <x:c r="A3" s="6" t="str">
        <x:v>Target-LLM uses</x:v>
      </x:c>
      <x:c r="B3" s="6" t="n">
        <x:v>281</x:v>
      </x:c>
    </x:row>
    <x:row r="4" ht="36" customHeight="1">
      <x:c r="A4" s="6" t="str">
        <x:v>Uses classified in Figure 6</x:v>
      </x:c>
      <x:c r="B4" s="6" t="n">
        <x:v>255</x:v>
      </x:c>
    </x:row>
    <x:row r="5" ht="36" customHeight="1">
      <x:c r="A5" s="6" t="str">
        <x:v>Uses not identifiable</x:v>
      </x:c>
      <x:c r="B5" s="6" t="n">
        <x:v>26</x:v>
      </x:c>
    </x:row>
    <x:row r="6" ht="36" customHeight="1">
      <x:c r="A6" s="6" t="str">
        <x:v>Configuration feature records</x:v>
      </x:c>
      <x:c r="B6" s="6" t="n">
        <x:v>319</x:v>
      </x:c>
    </x:row>
    <x:row r="7" ht="36" customHeight="1">
      <x:c r="A7" s="6" t="str">
        <x:v>Included configuration features</x:v>
      </x:c>
      <x:c r="B7" s="6" t="n">
        <x:v>301</x:v>
      </x:c>
    </x:row>
    <x:row r="8" ht="36" customHeight="1">
      <x:c r="A8" s="6" t="str">
        <x:v>Scope</x:v>
      </x:c>
      <x:c r="B8" s="6" t="str">
        <x:v>Model uses, source-level configuration flags, reporting classifications, and resource access have separate units.</x:v>
      </x:c>
    </x:row>
    <x:row r="9" ht="36" customHeight="1">
      <x:c r="A9" s="6" t="str">
        <x:v>Resources</x:v>
      </x:c>
      <x:c r="B9" s="6" t="str">
        <x:v>The complete 61-source resource-status table is rq4_resource_access.csv.</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0" hidden="0" customWidth="1"/>
    <x:col min="3" max="3" width="20" hidden="0" customWidth="1"/>
    <x:col min="4" max="4" width="52"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52" hidden="0" customWidth="1"/>
    <x:col min="30" max="30" width="52" hidden="0" customWidth="1"/>
  </x:cols>
  <x:sheetData>
    <x:row r="1" ht="38" customHeight="1">
      <x:c r="A1" s="5" t="str">
        <x:v>Study ID</x:v>
      </x:c>
      <x:c r="B1" s="5" t="str">
        <x:v>Year</x:v>
      </x:c>
      <x:c r="C1" s="5" t="str">
        <x:v>Source type</x:v>
      </x:c>
      <x:c r="D1" s="5" t="str">
        <x:v>Title</x:v>
      </x:c>
      <x:c r="E1" s="5" t="str">
        <x:v>Model use ID</x:v>
      </x:c>
      <x:c r="F1" s="5" t="str">
        <x:v>Operation ID</x:v>
      </x:c>
      <x:c r="G1" s="5" t="str">
        <x:v>Task ID</x:v>
      </x:c>
      <x:c r="H1" s="5" t="str">
        <x:v>Model name in paper</x:v>
      </x:c>
      <x:c r="I1" s="5" t="str">
        <x:v>Canonical model name</x:v>
      </x:c>
      <x:c r="J1" s="5" t="str">
        <x:v>Normalized family</x:v>
      </x:c>
      <x:c r="K1" s="5" t="str">
        <x:v>Normalized model/version</x:v>
      </x:c>
      <x:c r="L1" s="5" t="str">
        <x:v>Raw access class</x:v>
      </x:c>
      <x:c r="M1" s="5" t="str">
        <x:v>Normalized access group</x:v>
      </x:c>
      <x:c r="N1" s="5" t="str">
        <x:v>Access classification basis</x:v>
      </x:c>
      <x:c r="O1" s="5" t="str">
        <x:v>Included in model figure</x:v>
      </x:c>
      <x:c r="P1" s="5" t="str">
        <x:v>Figure exclusion reason</x:v>
      </x:c>
      <x:c r="Q1" s="5" t="str">
        <x:v>API/local</x:v>
      </x:c>
      <x:c r="R1" s="5" t="str">
        <x:v>Deployment mode</x:v>
      </x:c>
      <x:c r="S1" s="5" t="str">
        <x:v>Reported version</x:v>
      </x:c>
      <x:c r="T1" s="5" t="str">
        <x:v>Model size</x:v>
      </x:c>
      <x:c r="U1" s="5" t="str">
        <x:v>Model access date</x:v>
      </x:c>
      <x:c r="V1" s="5" t="str">
        <x:v>Temperature</x:v>
      </x:c>
      <x:c r="W1" s="5" t="str">
        <x:v>Random seed</x:v>
      </x:c>
      <x:c r="X1" s="5" t="str">
        <x:v>Repeat count</x:v>
      </x:c>
      <x:c r="Y1" s="5" t="str">
        <x:v>Context window</x:v>
      </x:c>
      <x:c r="Z1" s="5" t="str">
        <x:v>Privacy control</x:v>
      </x:c>
      <x:c r="AA1" s="5" t="str">
        <x:v>Cost reported</x:v>
      </x:c>
      <x:c r="AB1" s="5" t="str">
        <x:v>Latency reported</x:v>
      </x:c>
      <x:c r="AC1" s="5" t="str">
        <x:v>Evidence location</x:v>
      </x:c>
      <x:c r="AD1" s="5" t="str">
        <x:v>Evidence excerpt</x:v>
      </x:c>
    </x:row>
    <x:row r="2" ht="76" customHeight="1">
      <x:c r="A2" s="2" t="str">
        <x:v>S09</x:v>
      </x:c>
      <x:c r="B2" s="2" t="str">
        <x:v>2026</x:v>
      </x:c>
      <x:c r="C2" s="2" t="str">
        <x:v>Grey literature</x:v>
      </x:c>
      <x:c r="D2" s="6" t="str">
        <x:v>Trust-Aware Multi-Agent Traceability: Confidence-Calibrated Knowledge Graphs for Consistent Software Artifact Management</x:v>
      </x:c>
      <x:c r="E2" s="2" t="str">
        <x:v>S09-MU01</x:v>
      </x:c>
      <x:c r="F2" s="2" t="str">
        <x:v>S09-O01</x:v>
      </x:c>
      <x:c r="G2" s="2" t="str">
        <x:v>S09-T01</x:v>
      </x:c>
      <x:c r="H2" s="2" t="str">
        <x:v>MLLM</x:v>
      </x:c>
      <x:c r="I2" s="2" t="str">
        <x:v>NR</x:v>
      </x:c>
      <x:c r="J2" s="2" t="str">
        <x:v>NR</x:v>
      </x:c>
      <x:c r="K2" s="2" t="str">
        <x:v>Model not identifiable</x:v>
      </x:c>
      <x:c r="L2" s="2" t="str">
        <x:v>NR</x:v>
      </x:c>
      <x:c r="M2" s="2" t="str">
        <x:v>NR</x:v>
      </x:c>
      <x:c r="N2" s="6" t="str">
        <x:v>Not classifiable</x:v>
      </x:c>
      <x:c r="O2" s="2" t="str">
        <x:v>No</x:v>
      </x:c>
      <x:c r="P2" s="2" t="str">
        <x:v>The record does not identify a model family or version, so open/closed status cannot be assigned without fabrication.</x:v>
      </x:c>
      <x:c r="Q2" s="2" t="str">
        <x:v>NR</x:v>
      </x:c>
      <x:c r="R2" s="2" t="str">
        <x:v>NR</x:v>
      </x:c>
      <x:c r="S2" s="2" t="str">
        <x:v>NR</x:v>
      </x:c>
      <x:c r="T2" s="2" t="str">
        <x:v>NR</x:v>
      </x:c>
      <x:c r="U2" s="2" t="str">
        <x:v>NR</x:v>
      </x:c>
      <x:c r="V2" s="2" t="str">
        <x:v>NR</x:v>
      </x:c>
      <x:c r="W2" s="2" t="str">
        <x:v>NR</x:v>
      </x:c>
      <x:c r="X2" s="2" t="str">
        <x:v>NR</x:v>
      </x:c>
      <x:c r="Y2" s="2" t="str">
        <x:v>NR</x:v>
      </x:c>
      <x:c r="Z2" s="2" t="str">
        <x:v>NR</x:v>
      </x:c>
      <x:c r="AA2" s="2" t="str">
        <x:v>No</x:v>
      </x:c>
      <x:c r="AB2" s="2" t="str">
        <x:v>No</x:v>
      </x:c>
      <x:c r="AC2" s="6" t="str">
        <x:v>p. 3; Section III-D</x:v>
      </x:c>
      <x:c r="AD2" s="6" t="str">
        <x:v>MLLM (P (r, c))</x:v>
      </x:c>
    </x:row>
    <x:row r="3" ht="76" customHeight="1">
      <x:c r="A3" s="2" t="str">
        <x:v>S22</x:v>
      </x:c>
      <x:c r="B3" s="2" t="str">
        <x:v>2026</x:v>
      </x:c>
      <x:c r="C3" s="2" t="str">
        <x:v>Grey literature</x:v>
      </x:c>
      <x:c r="D3" s="6" t="str">
        <x:v>Specification-Driven Development Benchmark: Security Knowledge Transition</x:v>
      </x:c>
      <x:c r="E3" s="2" t="str">
        <x:v>S22-MU01</x:v>
      </x:c>
      <x:c r="F3" s="2" t="str">
        <x:v>S22-O01</x:v>
      </x:c>
      <x:c r="G3" s="2" t="str">
        <x:v>S22-T01</x:v>
      </x:c>
      <x:c r="H3" s="2" t="str">
        <x:v>NR</x:v>
      </x:c>
      <x:c r="I3" s="2" t="str">
        <x:v>NR</x:v>
      </x:c>
      <x:c r="J3" s="2" t="str">
        <x:v>NR</x:v>
      </x:c>
      <x:c r="K3" s="2" t="str">
        <x:v>Model not identifiable</x:v>
      </x:c>
      <x:c r="L3" s="2" t="str">
        <x:v>NR</x:v>
      </x:c>
      <x:c r="M3" s="2" t="str">
        <x:v>NR</x:v>
      </x:c>
      <x:c r="N3" s="6" t="str">
        <x:v>Not classifiable</x:v>
      </x:c>
      <x:c r="O3" s="2" t="str">
        <x:v>No</x:v>
      </x:c>
      <x:c r="P3" s="2" t="str">
        <x:v>The record does not identify a model family or version, so open/closed status cannot be assigned without fabrication.</x:v>
      </x:c>
      <x:c r="Q3" s="2" t="str">
        <x:v>NR</x:v>
      </x:c>
      <x:c r="R3" s="2" t="str">
        <x:v>NR</x:v>
      </x:c>
      <x:c r="S3" s="2" t="str">
        <x:v>NR</x:v>
      </x:c>
      <x:c r="T3" s="2" t="str">
        <x:v>NR</x:v>
      </x:c>
      <x:c r="U3" s="2" t="str">
        <x:v>NR</x:v>
      </x:c>
      <x:c r="V3" s="2" t="str">
        <x:v>NR</x:v>
      </x:c>
      <x:c r="W3" s="2" t="str">
        <x:v>NR</x:v>
      </x:c>
      <x:c r="X3" s="2" t="str">
        <x:v>NR</x:v>
      </x:c>
      <x:c r="Y3" s="2" t="str">
        <x:v>NR</x:v>
      </x:c>
      <x:c r="Z3" s="2" t="str">
        <x:v>NR</x:v>
      </x:c>
      <x:c r="AA3" s="2" t="str">
        <x:v>No</x:v>
      </x:c>
      <x:c r="AB3" s="2" t="str">
        <x:v>No</x:v>
      </x:c>
      <x:c r="AC3" s="6" t="str">
        <x:v>p. 6; Section VII</x:v>
      </x:c>
      <x:c r="AD3" s="6" t="str">
        <x:v>structured Multilayer Specification Security Model from system context when the original threat and risk model is</x:v>
      </x:c>
    </x:row>
    <x:row r="4" ht="76" customHeight="1">
      <x:c r="A4" s="2" t="str">
        <x:v>S24</x:v>
      </x:c>
      <x:c r="B4" s="2" t="str">
        <x:v>2026</x:v>
      </x:c>
      <x:c r="C4" s="2" t="str">
        <x:v>Published</x:v>
      </x:c>
      <x:c r="D4" s="6" t="str">
        <x:v>Automated Extraction and Cross-Document Analysis of Aerospace Project Requirements Using LLMs</x:v>
      </x:c>
      <x:c r="E4" s="2" t="str">
        <x:v>S24-MU01</x:v>
      </x:c>
      <x:c r="F4" s="2" t="str">
        <x:v>S24-O01</x:v>
      </x:c>
      <x:c r="G4" s="2" t="str">
        <x:v>S24-T01</x:v>
      </x:c>
      <x:c r="H4" s="2" t="str">
        <x:v>NR</x:v>
      </x:c>
      <x:c r="I4" s="2" t="str">
        <x:v>NR</x:v>
      </x:c>
      <x:c r="J4" s="2" t="str">
        <x:v>NR</x:v>
      </x:c>
      <x:c r="K4" s="2" t="str">
        <x:v>Model not identifiable</x:v>
      </x:c>
      <x:c r="L4" s="2" t="str">
        <x:v>Unclear</x:v>
      </x:c>
      <x:c r="M4" s="2" t="str">
        <x:v>NR</x:v>
      </x:c>
      <x:c r="N4" s="6" t="str">
        <x:v>Not classifiable</x:v>
      </x:c>
      <x:c r="O4" s="2" t="str">
        <x:v>No</x:v>
      </x:c>
      <x:c r="P4" s="2" t="str">
        <x:v>The record does not identify a model family or version, so open/closed status cannot be assigned without fabrication.</x:v>
      </x:c>
      <x:c r="Q4" s="2" t="str">
        <x:v>API</x:v>
      </x:c>
      <x:c r="R4" s="2" t="str">
        <x:v>NR</x:v>
      </x:c>
      <x:c r="S4" s="2" t="str">
        <x:v>Unclear</x:v>
      </x:c>
      <x:c r="T4" s="2" t="str">
        <x:v>Unclear</x:v>
      </x:c>
      <x:c r="U4" s="2" t="str">
        <x:v>NR</x:v>
      </x:c>
      <x:c r="V4" s="2" t="str">
        <x:v>NR</x:v>
      </x:c>
      <x:c r="W4" s="2" t="str">
        <x:v>NR</x:v>
      </x:c>
      <x:c r="X4" s="2" t="str">
        <x:v>NR</x:v>
      </x:c>
      <x:c r="Y4" s="2" t="str">
        <x:v>NR</x:v>
      </x:c>
      <x:c r="Z4" s="2" t="str">
        <x:v>NR</x:v>
      </x:c>
      <x:c r="AA4" s="2" t="str">
        <x:v>No</x:v>
      </x:c>
      <x:c r="AB4" s="2" t="str">
        <x:v>No</x:v>
      </x:c>
      <x:c r="AC4" s="6" t="str">
        <x:v>p. 1; abstract</x:v>
      </x:c>
      <x:c r="AD4" s="6" t="str">
        <x:v>The tool employs a hybrid architecture: a document-agnostic, Large Language Model (LLM)-assisted parser induces regex-based rules</x:v>
      </x:c>
    </x:row>
    <x:row r="5" ht="76" customHeight="1">
      <x:c r="A5" s="2" t="str">
        <x:v>S26</x:v>
      </x:c>
      <x:c r="B5" s="2" t="str">
        <x:v>2025</x:v>
      </x:c>
      <x:c r="C5" s="2" t="str">
        <x:v>Published</x:v>
      </x:c>
      <x:c r="D5" s="6" t="str">
        <x:v>Intelligent Traceability to Support Software Maintainability and Accountability</x:v>
      </x:c>
      <x:c r="E5" s="2" t="str">
        <x:v>S26-MU01</x:v>
      </x:c>
      <x:c r="F5" s="2" t="str">
        <x:v>S26-O01</x:v>
      </x:c>
      <x:c r="G5" s="2" t="str">
        <x:v>S26-T01</x:v>
      </x:c>
      <x:c r="H5" s="2" t="str">
        <x:v>LLMs</x:v>
      </x:c>
      <x:c r="I5" s="2" t="str">
        <x:v>NR</x:v>
      </x:c>
      <x:c r="J5" s="2" t="str">
        <x:v>NR</x:v>
      </x:c>
      <x:c r="K5" s="2" t="str">
        <x:v>Model not identifiable</x:v>
      </x:c>
      <x:c r="L5" s="2" t="str">
        <x:v>NR</x:v>
      </x:c>
      <x:c r="M5" s="2" t="str">
        <x:v>NR</x:v>
      </x:c>
      <x:c r="N5" s="6" t="str">
        <x:v>Not classifiable</x:v>
      </x:c>
      <x:c r="O5" s="2" t="str">
        <x:v>No</x:v>
      </x:c>
      <x:c r="P5" s="2" t="str">
        <x:v>The record does not identify a model family or version, so open/closed status cannot be assigned without fabrication.</x:v>
      </x:c>
      <x:c r="Q5" s="2" t="str">
        <x:v>NR</x:v>
      </x:c>
      <x:c r="R5" s="2" t="str">
        <x:v>NR</x:v>
      </x:c>
      <x:c r="S5" s="2" t="str">
        <x:v>NR</x:v>
      </x:c>
      <x:c r="T5" s="2" t="str">
        <x:v>NR</x:v>
      </x:c>
      <x:c r="U5" s="2" t="str">
        <x:v>NR</x:v>
      </x:c>
      <x:c r="V5" s="2" t="str">
        <x:v>NR</x:v>
      </x:c>
      <x:c r="W5" s="2" t="str">
        <x:v>NR</x:v>
      </x:c>
      <x:c r="X5" s="2" t="str">
        <x:v>NR</x:v>
      </x:c>
      <x:c r="Y5" s="2" t="str">
        <x:v>NR</x:v>
      </x:c>
      <x:c r="Z5" s="2" t="str">
        <x:v>NR</x:v>
      </x:c>
      <x:c r="AA5" s="2" t="str">
        <x:v>No</x:v>
      </x:c>
      <x:c r="AB5" s="2" t="str">
        <x:v>No</x:v>
      </x:c>
      <x:c r="AC5" s="6" t="str">
        <x:v>p. 2; Section II-A</x:v>
      </x:c>
      <x:c r="AD5" s="6" t="str">
        <x:v>the latest generation of LLMs offers the potential to overcome these limitations by providing accurate trace links across domains even in data-sparse settings</x:v>
      </x:c>
    </x:row>
    <x:row r="6" ht="76" customHeight="1">
      <x:c r="A6" s="2" t="str">
        <x:v>S26</x:v>
      </x:c>
      <x:c r="B6" s="2" t="str">
        <x:v>2025</x:v>
      </x:c>
      <x:c r="C6" s="2" t="str">
        <x:v>Published</x:v>
      </x:c>
      <x:c r="D6" s="6" t="str">
        <x:v>Intelligent Traceability to Support Software Maintainability and Accountability</x:v>
      </x:c>
      <x:c r="E6" s="2" t="str">
        <x:v>S26-MU02</x:v>
      </x:c>
      <x:c r="F6" s="2" t="str">
        <x:v>S26-O02</x:v>
      </x:c>
      <x:c r="G6" s="2" t="str">
        <x:v>S26-T01</x:v>
      </x:c>
      <x:c r="H6" s="2" t="str">
        <x:v>LLMs</x:v>
      </x:c>
      <x:c r="I6" s="2" t="str">
        <x:v>NR</x:v>
      </x:c>
      <x:c r="J6" s="2" t="str">
        <x:v>NR</x:v>
      </x:c>
      <x:c r="K6" s="2" t="str">
        <x:v>Model not identifiable</x:v>
      </x:c>
      <x:c r="L6" s="2" t="str">
        <x:v>NR</x:v>
      </x:c>
      <x:c r="M6" s="2" t="str">
        <x:v>NR</x:v>
      </x:c>
      <x:c r="N6" s="6" t="str">
        <x:v>Not classifiable</x:v>
      </x:c>
      <x:c r="O6" s="2" t="str">
        <x:v>No</x:v>
      </x:c>
      <x:c r="P6" s="2" t="str">
        <x:v>The record does not identify a model family or version, so open/closed status cannot be assigned without fabrication.</x:v>
      </x:c>
      <x:c r="Q6" s="2" t="str">
        <x:v>NR</x:v>
      </x:c>
      <x:c r="R6" s="2" t="str">
        <x:v>NR</x:v>
      </x:c>
      <x:c r="S6" s="2" t="str">
        <x:v>NR</x:v>
      </x:c>
      <x:c r="T6" s="2" t="str">
        <x:v>NR</x:v>
      </x:c>
      <x:c r="U6" s="2" t="str">
        <x:v>NR</x:v>
      </x:c>
      <x:c r="V6" s="2" t="str">
        <x:v>NR</x:v>
      </x:c>
      <x:c r="W6" s="2" t="str">
        <x:v>NR</x:v>
      </x:c>
      <x:c r="X6" s="2" t="str">
        <x:v>NR</x:v>
      </x:c>
      <x:c r="Y6" s="2" t="str">
        <x:v>NR</x:v>
      </x:c>
      <x:c r="Z6" s="2" t="str">
        <x:v>NR</x:v>
      </x:c>
      <x:c r="AA6" s="2" t="str">
        <x:v>No</x:v>
      </x:c>
      <x:c r="AB6" s="2" t="str">
        <x:v>No</x:v>
      </x:c>
      <x:c r="AC6" s="6" t="str">
        <x:v>p. 3; Section III-A</x:v>
      </x:c>
      <x:c r="AD6" s="6" t="str">
        <x:v>the LLM could then refine</x:v>
      </x:c>
    </x:row>
    <x:row r="7" ht="76" customHeight="1">
      <x:c r="A7" s="2" t="str">
        <x:v>S26</x:v>
      </x:c>
      <x:c r="B7" s="2" t="str">
        <x:v>2025</x:v>
      </x:c>
      <x:c r="C7" s="2" t="str">
        <x:v>Published</x:v>
      </x:c>
      <x:c r="D7" s="6" t="str">
        <x:v>Intelligent Traceability to Support Software Maintainability and Accountability</x:v>
      </x:c>
      <x:c r="E7" s="2" t="str">
        <x:v>S26-MU03</x:v>
      </x:c>
      <x:c r="F7" s="2" t="str">
        <x:v>S26-O03</x:v>
      </x:c>
      <x:c r="G7" s="2" t="str">
        <x:v>S26-T02</x:v>
      </x:c>
      <x:c r="H7" s="2" t="str">
        <x:v>LLMs</x:v>
      </x:c>
      <x:c r="I7" s="2" t="str">
        <x:v>NR</x:v>
      </x:c>
      <x:c r="J7" s="2" t="str">
        <x:v>NR</x:v>
      </x:c>
      <x:c r="K7" s="2" t="str">
        <x:v>Model not identifiable</x:v>
      </x:c>
      <x:c r="L7" s="2" t="str">
        <x:v>NR</x:v>
      </x:c>
      <x:c r="M7" s="2" t="str">
        <x:v>NR</x:v>
      </x:c>
      <x:c r="N7" s="6" t="str">
        <x:v>Not classifiable</x:v>
      </x:c>
      <x:c r="O7" s="2" t="str">
        <x:v>No</x:v>
      </x:c>
      <x:c r="P7" s="2" t="str">
        <x:v>The record does not identify a model family or version, so open/closed status cannot be assigned without fabrication.</x:v>
      </x:c>
      <x:c r="Q7" s="2" t="str">
        <x:v>NR</x:v>
      </x:c>
      <x:c r="R7" s="2" t="str">
        <x:v>NR</x:v>
      </x:c>
      <x:c r="S7" s="2" t="str">
        <x:v>NR</x:v>
      </x:c>
      <x:c r="T7" s="2" t="str">
        <x:v>NR</x:v>
      </x:c>
      <x:c r="U7" s="2" t="str">
        <x:v>NR</x:v>
      </x:c>
      <x:c r="V7" s="2" t="str">
        <x:v>NR</x:v>
      </x:c>
      <x:c r="W7" s="2" t="str">
        <x:v>NR</x:v>
      </x:c>
      <x:c r="X7" s="2" t="str">
        <x:v>NR</x:v>
      </x:c>
      <x:c r="Y7" s="2" t="str">
        <x:v>NR</x:v>
      </x:c>
      <x:c r="Z7" s="2" t="str">
        <x:v>NR</x:v>
      </x:c>
      <x:c r="AA7" s="2" t="str">
        <x:v>No</x:v>
      </x:c>
      <x:c r="AB7" s="2" t="str">
        <x:v>No</x:v>
      </x:c>
      <x:c r="AC7" s="6" t="str">
        <x:v>p. 3; Section III-B</x:v>
      </x:c>
      <x:c r="AD7" s="6" t="str">
        <x:v>Each cluster is then presented to the LLM</x:v>
      </x:c>
    </x:row>
    <x:row r="8" ht="76" customHeight="1">
      <x:c r="A8" s="2" t="str">
        <x:v>S26</x:v>
      </x:c>
      <x:c r="B8" s="2" t="str">
        <x:v>2025</x:v>
      </x:c>
      <x:c r="C8" s="2" t="str">
        <x:v>Published</x:v>
      </x:c>
      <x:c r="D8" s="6" t="str">
        <x:v>Intelligent Traceability to Support Software Maintainability and Accountability</x:v>
      </x:c>
      <x:c r="E8" s="2" t="str">
        <x:v>S26-MU04</x:v>
      </x:c>
      <x:c r="F8" s="2" t="str">
        <x:v>S26-O04</x:v>
      </x:c>
      <x:c r="G8" s="2" t="str">
        <x:v>S26-T03</x:v>
      </x:c>
      <x:c r="H8" s="2" t="str">
        <x:v>LLMs</x:v>
      </x:c>
      <x:c r="I8" s="2" t="str">
        <x:v>NR</x:v>
      </x:c>
      <x:c r="J8" s="2" t="str">
        <x:v>NR</x:v>
      </x:c>
      <x:c r="K8" s="2" t="str">
        <x:v>Model not identifiable</x:v>
      </x:c>
      <x:c r="L8" s="2" t="str">
        <x:v>NR</x:v>
      </x:c>
      <x:c r="M8" s="2" t="str">
        <x:v>NR</x:v>
      </x:c>
      <x:c r="N8" s="6" t="str">
        <x:v>Not classifiable</x:v>
      </x:c>
      <x:c r="O8" s="2" t="str">
        <x:v>No</x:v>
      </x:c>
      <x:c r="P8" s="2" t="str">
        <x:v>The record does not identify a model family or version, so open/closed status cannot be assigned without fabrication.</x:v>
      </x:c>
      <x:c r="Q8" s="2" t="str">
        <x:v>NR</x:v>
      </x:c>
      <x:c r="R8" s="2" t="str">
        <x:v>NR</x:v>
      </x:c>
      <x:c r="S8" s="2" t="str">
        <x:v>NR</x:v>
      </x:c>
      <x:c r="T8" s="2" t="str">
        <x:v>NR</x:v>
      </x:c>
      <x:c r="U8" s="2" t="str">
        <x:v>NR</x:v>
      </x:c>
      <x:c r="V8" s="2" t="str">
        <x:v>NR</x:v>
      </x:c>
      <x:c r="W8" s="2" t="str">
        <x:v>NR</x:v>
      </x:c>
      <x:c r="X8" s="2" t="str">
        <x:v>NR</x:v>
      </x:c>
      <x:c r="Y8" s="2" t="str">
        <x:v>NR</x:v>
      </x:c>
      <x:c r="Z8" s="2" t="str">
        <x:v>NR</x:v>
      </x:c>
      <x:c r="AA8" s="2" t="str">
        <x:v>No</x:v>
      </x:c>
      <x:c r="AB8" s="2" t="str">
        <x:v>No</x:v>
      </x:c>
      <x:c r="AC8" s="6" t="str">
        <x:v>p. 4; Section III-C</x:v>
      </x:c>
      <x:c r="AD8" s="6" t="str">
        <x:v>automatically transformed into traceable, safety-focused requirements</x:v>
      </x:c>
    </x:row>
    <x:row r="9" ht="76" customHeight="1">
      <x:c r="A9" s="2" t="str">
        <x:v>S26</x:v>
      </x:c>
      <x:c r="B9" s="2" t="str">
        <x:v>2025</x:v>
      </x:c>
      <x:c r="C9" s="2" t="str">
        <x:v>Published</x:v>
      </x:c>
      <x:c r="D9" s="6" t="str">
        <x:v>Intelligent Traceability to Support Software Maintainability and Accountability</x:v>
      </x:c>
      <x:c r="E9" s="2" t="str">
        <x:v>S26-MU05</x:v>
      </x:c>
      <x:c r="F9" s="2" t="str">
        <x:v>S26-O05</x:v>
      </x:c>
      <x:c r="G9" s="2" t="str">
        <x:v>S26-T04</x:v>
      </x:c>
      <x:c r="H9" s="2" t="str">
        <x:v>LLMs</x:v>
      </x:c>
      <x:c r="I9" s="2" t="str">
        <x:v>NR</x:v>
      </x:c>
      <x:c r="J9" s="2" t="str">
        <x:v>NR</x:v>
      </x:c>
      <x:c r="K9" s="2" t="str">
        <x:v>Model not identifiable</x:v>
      </x:c>
      <x:c r="L9" s="2" t="str">
        <x:v>NR</x:v>
      </x:c>
      <x:c r="M9" s="2" t="str">
        <x:v>NR</x:v>
      </x:c>
      <x:c r="N9" s="6" t="str">
        <x:v>Not classifiable</x:v>
      </x:c>
      <x:c r="O9" s="2" t="str">
        <x:v>No</x:v>
      </x:c>
      <x:c r="P9" s="2" t="str">
        <x:v>The record does not identify a model family or version, so open/closed status cannot be assigned without fabrication.</x:v>
      </x:c>
      <x:c r="Q9" s="2" t="str">
        <x:v>NR</x:v>
      </x:c>
      <x:c r="R9" s="2" t="str">
        <x:v>NR</x:v>
      </x:c>
      <x:c r="S9" s="2" t="str">
        <x:v>NR</x:v>
      </x:c>
      <x:c r="T9" s="2" t="str">
        <x:v>NR</x:v>
      </x:c>
      <x:c r="U9" s="2" t="str">
        <x:v>NR</x:v>
      </x:c>
      <x:c r="V9" s="2" t="str">
        <x:v>NR</x:v>
      </x:c>
      <x:c r="W9" s="2" t="str">
        <x:v>NR</x:v>
      </x:c>
      <x:c r="X9" s="2" t="str">
        <x:v>NR</x:v>
      </x:c>
      <x:c r="Y9" s="2" t="str">
        <x:v>NR</x:v>
      </x:c>
      <x:c r="Z9" s="2" t="str">
        <x:v>NR</x:v>
      </x:c>
      <x:c r="AA9" s="2" t="str">
        <x:v>No</x:v>
      </x:c>
      <x:c r="AB9" s="2" t="str">
        <x:v>No</x:v>
      </x:c>
      <x:c r="AC9" s="6" t="str">
        <x:v>p. 4; Section III-D</x:v>
      </x:c>
      <x:c r="AD9" s="6" t="str">
        <x:v>code. Additionally, Model Context Protocols [19] will enable the LLM to access and coordinate these tools effectively.</x:v>
      </x:c>
    </x:row>
    <x:row r="10" ht="76" customHeight="1">
      <x:c r="A10" s="2" t="str">
        <x:v>S31</x:v>
      </x:c>
      <x:c r="B10" s="2" t="str">
        <x:v>2025</x:v>
      </x:c>
      <x:c r="C10" s="2" t="str">
        <x:v>Published</x:v>
      </x:c>
      <x:c r="D10" s="6" t="str">
        <x:v>Generating Context-Aware Learning Materials for Software Security via LLM Agents and Traceability</x:v>
      </x:c>
      <x:c r="E10" s="2" t="str">
        <x:v>S31-MU03</x:v>
      </x:c>
      <x:c r="F10" s="2" t="str">
        <x:v>S31-O05</x:v>
      </x:c>
      <x:c r="G10" s="2" t="str">
        <x:v>S31-T01</x:v>
      </x:c>
      <x:c r="H10" s="2" t="str">
        <x:v>Independent LLM agent</x:v>
      </x:c>
      <x:c r="I10" s="2" t="str">
        <x:v>Unclear</x:v>
      </x:c>
      <x:c r="J10" s="2" t="str">
        <x:v>NR</x:v>
      </x:c>
      <x:c r="K10" s="2" t="str">
        <x:v>Model not identifiable</x:v>
      </x:c>
      <x:c r="L10" s="2" t="str">
        <x:v>Unclear</x:v>
      </x:c>
      <x:c r="M10" s="2" t="str">
        <x:v>NR</x:v>
      </x:c>
      <x:c r="N10" s="6" t="str">
        <x:v>Not classifiable</x:v>
      </x:c>
      <x:c r="O10" s="2" t="str">
        <x:v>No</x:v>
      </x:c>
      <x:c r="P10" s="2" t="str">
        <x:v>The record does not identify a model family or version, so open/closed status cannot be assigned without fabrication.</x:v>
      </x:c>
      <x:c r="Q10" s="2" t="str">
        <x:v>Unclear</x:v>
      </x:c>
      <x:c r="R10" s="2" t="str">
        <x:v>Unclear</x:v>
      </x:c>
      <x:c r="S10" s="2" t="str">
        <x:v>NR</x:v>
      </x:c>
      <x:c r="T10" s="2" t="str">
        <x:v>NR</x:v>
      </x:c>
      <x:c r="U10" s="2" t="str">
        <x:v>NR</x:v>
      </x:c>
      <x:c r="V10" s="2" t="str">
        <x:v>NR</x:v>
      </x:c>
      <x:c r="W10" s="2" t="str">
        <x:v>NR</x:v>
      </x:c>
      <x:c r="X10" s="2" t="str">
        <x:v>NR</x:v>
      </x:c>
      <x:c r="Y10" s="2" t="str">
        <x:v>NR</x:v>
      </x:c>
      <x:c r="Z10" s="2" t="str">
        <x:v>NR</x:v>
      </x:c>
      <x:c r="AA10" s="2" t="str">
        <x:v>No</x:v>
      </x:c>
      <x:c r="AB10" s="2" t="str">
        <x:v>No</x:v>
      </x:c>
      <x:c r="AC10" s="6" t="str">
        <x:v>p. 3; Section V</x:v>
      </x:c>
      <x:c r="AD10" s="6" t="str">
        <x:v>quiz generated by an independent LLM agent</x:v>
      </x:c>
    </x:row>
    <x:row r="11" ht="76" customHeight="1">
      <x:c r="A11" s="2" t="str">
        <x:v>S32</x:v>
      </x:c>
      <x:c r="B11" s="2" t="str">
        <x:v>2025</x:v>
      </x:c>
      <x:c r="C11" s="2" t="str">
        <x:v>Published</x:v>
      </x:c>
      <x:c r="D11" s="6" t="str">
        <x:v>Constructing Cross-Level Traceability Links in the Automotive Domain: A Case Study</x:v>
      </x:c>
      <x:c r="E11" s="2" t="str">
        <x:v>S32-MU01</x:v>
      </x:c>
      <x:c r="F11" s="2" t="str">
        <x:v>S32-O01</x:v>
      </x:c>
      <x:c r="G11" s="2" t="str">
        <x:v>S32-T01</x:v>
      </x:c>
      <x:c r="H11" s="2" t="str">
        <x:v>LLMs</x:v>
      </x:c>
      <x:c r="I11" s="2" t="str">
        <x:v>NR</x:v>
      </x:c>
      <x:c r="J11" s="2" t="str">
        <x:v>NR</x:v>
      </x:c>
      <x:c r="K11" s="2" t="str">
        <x:v>Model not identifiable</x:v>
      </x:c>
      <x:c r="L11" s="2" t="str">
        <x:v>NR</x:v>
      </x:c>
      <x:c r="M11" s="2" t="str">
        <x:v>NR</x:v>
      </x:c>
      <x:c r="N11" s="6" t="str">
        <x:v>Not classifiable</x:v>
      </x:c>
      <x:c r="O11" s="2" t="str">
        <x:v>No</x:v>
      </x:c>
      <x:c r="P11" s="2" t="str">
        <x:v>The record does not identify a model family or version, so open/closed status cannot be assigned without fabrication.</x:v>
      </x:c>
      <x:c r="Q11" s="2" t="str">
        <x:v>NR</x:v>
      </x:c>
      <x:c r="R11" s="2" t="str">
        <x:v>NR</x:v>
      </x:c>
      <x:c r="S11" s="2" t="str">
        <x:v>NR</x:v>
      </x:c>
      <x:c r="T11" s="2" t="str">
        <x:v>NR</x:v>
      </x:c>
      <x:c r="U11" s="2" t="str">
        <x:v>NR</x:v>
      </x:c>
      <x:c r="V11" s="2" t="str">
        <x:v>NR</x:v>
      </x:c>
      <x:c r="W11" s="2" t="str">
        <x:v>NR</x:v>
      </x:c>
      <x:c r="X11" s="2" t="str">
        <x:v>NR</x:v>
      </x:c>
      <x:c r="Y11" s="2" t="str">
        <x:v>NR</x:v>
      </x:c>
      <x:c r="Z11" s="2" t="str">
        <x:v>NR</x:v>
      </x:c>
      <x:c r="AA11" s="2" t="str">
        <x:v>No</x:v>
      </x:c>
      <x:c r="AB11" s="2" t="str">
        <x:v>No</x:v>
      </x:c>
      <x:c r="AC11" s="6" t="str">
        <x:v>p. 4; section IV.A</x:v>
      </x:c>
      <x:c r="AD11" s="6" t="str">
        <x:v>We use a domain-specific metamodel and prompt engineering to guide LLMs in extracting semantic elements</x:v>
      </x:c>
    </x:row>
    <x:row r="12" ht="76" customHeight="1">
      <x:c r="A12" s="2" t="str">
        <x:v>S52</x:v>
      </x:c>
      <x:c r="B12" s="2" t="str">
        <x:v>2024</x:v>
      </x:c>
      <x:c r="C12" s="2" t="str">
        <x:v>Published</x:v>
      </x:c>
      <x:c r="D12" s="6" t="str">
        <x:v>Supporting Software Maintenance with Dynamically Generated Document Hierarchies</x:v>
      </x:c>
      <x:c r="E12" s="2" t="str">
        <x:v>S52-MU01</x:v>
      </x:c>
      <x:c r="F12" s="2" t="str">
        <x:v>S52-O01</x:v>
      </x:c>
      <x:c r="G12" s="2" t="str">
        <x:v>S52-T01</x:v>
      </x:c>
      <x:c r="H12" s="2" t="str">
        <x:v>Claude 2.0</x:v>
      </x:c>
      <x:c r="I12" s="2" t="str">
        <x:v>Claude 2.0</x:v>
      </x:c>
      <x:c r="J12" s="2" t="str">
        <x:v>Claude</x:v>
      </x:c>
      <x:c r="K12" s="2" t="str">
        <x:v>Claude 2.0</x:v>
      </x:c>
      <x:c r="L12" s="2" t="str">
        <x:v>Closed</x:v>
      </x:c>
      <x:c r="M12" s="2" t="str">
        <x:v>Closed</x:v>
      </x:c>
      <x:c r="N12" s="6" t="str">
        <x:v>Reported in extraction</x:v>
      </x:c>
      <x:c r="O12" s="2" t="str">
        <x:v>Yes</x:v>
      </x:c>
      <x:c r="P12" s="2" t="str"/>
      <x:c r="Q12" s="2" t="str">
        <x:v>API</x:v>
      </x:c>
      <x:c r="R12" s="2" t="str">
        <x:v>Unclear</x:v>
      </x:c>
      <x:c r="S12" s="2" t="str">
        <x:v>2.0</x:v>
      </x:c>
      <x:c r="T12" s="2" t="str">
        <x:v>NR</x:v>
      </x:c>
      <x:c r="U12" s="2" t="str">
        <x:v>NR</x:v>
      </x:c>
      <x:c r="V12" s="2" t="str">
        <x:v>NR</x:v>
      </x:c>
      <x:c r="W12" s="2" t="str">
        <x:v>NR</x:v>
      </x:c>
      <x:c r="X12" s="2" t="str">
        <x:v>NR</x:v>
      </x:c>
      <x:c r="Y12" s="2" t="str">
        <x:v>100k</x:v>
      </x:c>
      <x:c r="Z12" s="2" t="str">
        <x:v>NR</x:v>
      </x:c>
      <x:c r="AA12" s="2" t="str">
        <x:v>No</x:v>
      </x:c>
      <x:c r="AB12" s="2" t="str">
        <x:v>No</x:v>
      </x:c>
      <x:c r="AC12" s="6" t="str">
        <x:v>p. 3; Section II-A, Stage 0: Code Summarization</x:v>
      </x:c>
      <x:c r="AD12" s="6" t="str">
        <x:v>we opted to use Anthropic’s Claude 2.0 model, which returns similar results to OpenAI’s GPT-4 [20] and has a large context window of 100-k tokens [21].</x:v>
      </x:c>
    </x:row>
    <x:row r="13" ht="76" customHeight="1">
      <x:c r="A13" s="2" t="str">
        <x:v>S52</x:v>
      </x:c>
      <x:c r="B13" s="2" t="str">
        <x:v>2024</x:v>
      </x:c>
      <x:c r="C13" s="2" t="str">
        <x:v>Published</x:v>
      </x:c>
      <x:c r="D13" s="6" t="str">
        <x:v>Supporting Software Maintenance with Dynamically Generated Document Hierarchies</x:v>
      </x:c>
      <x:c r="E13" s="2" t="str">
        <x:v>S52-MU02</x:v>
      </x:c>
      <x:c r="F13" s="2" t="str">
        <x:v>S52-O02</x:v>
      </x:c>
      <x:c r="G13" s="2" t="str">
        <x:v>S52-T01</x:v>
      </x:c>
      <x:c r="H13" s="2" t="str">
        <x:v>Claude 2.0</x:v>
      </x:c>
      <x:c r="I13" s="2" t="str">
        <x:v>Claude 2.0</x:v>
      </x:c>
      <x:c r="J13" s="2" t="str">
        <x:v>Claude</x:v>
      </x:c>
      <x:c r="K13" s="2" t="str">
        <x:v>Claude 2.0</x:v>
      </x:c>
      <x:c r="L13" s="2" t="str">
        <x:v>Closed</x:v>
      </x:c>
      <x:c r="M13" s="2" t="str">
        <x:v>Closed</x:v>
      </x:c>
      <x:c r="N13" s="6" t="str">
        <x:v>Reported in extraction</x:v>
      </x:c>
      <x:c r="O13" s="2" t="str">
        <x:v>Yes</x:v>
      </x:c>
      <x:c r="P13" s="2" t="str"/>
      <x:c r="Q13" s="2" t="str">
        <x:v>API</x:v>
      </x:c>
      <x:c r="R13" s="2" t="str">
        <x:v>Unclear</x:v>
      </x:c>
      <x:c r="S13" s="2" t="str">
        <x:v>2.0</x:v>
      </x:c>
      <x:c r="T13" s="2" t="str">
        <x:v>NR</x:v>
      </x:c>
      <x:c r="U13" s="2" t="str">
        <x:v>NR</x:v>
      </x:c>
      <x:c r="V13" s="2" t="str">
        <x:v>NR</x:v>
      </x:c>
      <x:c r="W13" s="2" t="str">
        <x:v>NR</x:v>
      </x:c>
      <x:c r="X13" s="2" t="str">
        <x:v>NR</x:v>
      </x:c>
      <x:c r="Y13" s="2" t="str">
        <x:v>100k</x:v>
      </x:c>
      <x:c r="Z13" s="2" t="str">
        <x:v>NR</x:v>
      </x:c>
      <x:c r="AA13" s="2" t="str">
        <x:v>No</x:v>
      </x:c>
      <x:c r="AB13" s="2" t="str">
        <x:v>No</x:v>
      </x:c>
      <x:c r="AC13" s="6" t="str">
        <x:v>p. 2; Figure 1</x:v>
      </x:c>
      <x:c r="AD13" s="6" t="str">
        <x:v>For each step in the pipeline, we show the underlying AI models used to support the transformation of lower-level to higher-level documentation.</x:v>
      </x:c>
    </x:row>
    <x:row r="14" ht="76" customHeight="1">
      <x:c r="A14" s="2" t="str">
        <x:v>S13</x:v>
      </x:c>
      <x:c r="B14" s="2" t="str">
        <x:v>2025</x:v>
      </x:c>
      <x:c r="C14" s="2" t="str">
        <x:v>Published</x:v>
      </x:c>
      <x:c r="D14" s="6" t="str">
        <x:v>Synergistic Enhancement of Requirement-to-Code Traceability: A Framework Combining Large Language Model based Data Augmentation and an Advanced Encoder</x:v>
      </x:c>
      <x:c r="E14" s="2" t="str">
        <x:v>S13-MU02</x:v>
      </x:c>
      <x:c r="F14" s="2" t="str">
        <x:v>S13-O01</x:v>
      </x:c>
      <x:c r="G14" s="2" t="str">
        <x:v>S13-T01</x:v>
      </x:c>
      <x:c r="H14" s="2" t="str">
        <x:v>Claude 3 Opus</x:v>
      </x:c>
      <x:c r="I14" s="2" t="str">
        <x:v>Claude 3 Opus</x:v>
      </x:c>
      <x:c r="J14" s="2" t="str">
        <x:v>Claude</x:v>
      </x:c>
      <x:c r="K14" s="2" t="str">
        <x:v>Claude 3 Opus</x:v>
      </x:c>
      <x:c r="L14" s="2" t="str">
        <x:v>Closed</x:v>
      </x:c>
      <x:c r="M14" s="2" t="str">
        <x:v>Closed</x:v>
      </x:c>
      <x:c r="N14" s="6" t="str">
        <x:v>Reported in extraction</x:v>
      </x:c>
      <x:c r="O14" s="2" t="str">
        <x:v>Yes</x:v>
      </x:c>
      <x:c r="P14" s="2" t="str"/>
      <x:c r="Q14" s="2" t="str">
        <x:v>API</x:v>
      </x:c>
      <x:c r="R14" s="2" t="str">
        <x:v>NR</x:v>
      </x:c>
      <x:c r="S14" s="2" t="str">
        <x:v>3 Opus</x:v>
      </x:c>
      <x:c r="T14" s="2" t="str">
        <x:v>NR</x:v>
      </x:c>
      <x:c r="U14" s="2" t="str">
        <x:v>NR</x:v>
      </x:c>
      <x:c r="V14" s="2" t="str">
        <x:v>NR</x:v>
      </x:c>
      <x:c r="W14" s="2" t="str">
        <x:v>NR</x:v>
      </x:c>
      <x:c r="X14" s="2" t="str">
        <x:v>NR</x:v>
      </x:c>
      <x:c r="Y14" s="2" t="str">
        <x:v>NR</x:v>
      </x:c>
      <x:c r="Z14" s="2" t="str">
        <x:v>NR</x:v>
      </x:c>
      <x:c r="AA14" s="2" t="str">
        <x:v>No</x:v>
      </x:c>
      <x:c r="AB14" s="2" t="str">
        <x:v>No</x:v>
      </x:c>
      <x:c r="AC14" s="6" t="str">
        <x:v>p. 18; Section 4.2</x:v>
      </x:c>
      <x:c r="AD14" s="6" t="str">
        <x:v>For the data augmentation task, we utilized a panel of four leading, closed-source LLMs</x:v>
      </x:c>
    </x:row>
    <x:row r="15" ht="76" customHeight="1">
      <x:c r="A15" s="2" t="str">
        <x:v>S13</x:v>
      </x:c>
      <x:c r="B15" s="2" t="str">
        <x:v>2025</x:v>
      </x:c>
      <x:c r="C15" s="2" t="str">
        <x:v>Published</x:v>
      </x:c>
      <x:c r="D15" s="6" t="str">
        <x:v>Synergistic Enhancement of Requirement-to-Code Traceability: A Framework Combining Large Language Model based Data Augmentation and an Advanced Encoder</x:v>
      </x:c>
      <x:c r="E15" s="2" t="str">
        <x:v>S13-MU06</x:v>
      </x:c>
      <x:c r="F15" s="2" t="str">
        <x:v>S13-O02</x:v>
      </x:c>
      <x:c r="G15" s="2" t="str">
        <x:v>S13-T01</x:v>
      </x:c>
      <x:c r="H15" s="2" t="str">
        <x:v>Claude 3 Opus</x:v>
      </x:c>
      <x:c r="I15" s="2" t="str">
        <x:v>Claude 3 Opus</x:v>
      </x:c>
      <x:c r="J15" s="2" t="str">
        <x:v>Claude</x:v>
      </x:c>
      <x:c r="K15" s="2" t="str">
        <x:v>Claude 3 Opus</x:v>
      </x:c>
      <x:c r="L15" s="2" t="str">
        <x:v>Closed</x:v>
      </x:c>
      <x:c r="M15" s="2" t="str">
        <x:v>Closed</x:v>
      </x:c>
      <x:c r="N15" s="6" t="str">
        <x:v>Reported in extraction</x:v>
      </x:c>
      <x:c r="O15" s="2" t="str">
        <x:v>Yes</x:v>
      </x:c>
      <x:c r="P15" s="2" t="str"/>
      <x:c r="Q15" s="2" t="str">
        <x:v>API</x:v>
      </x:c>
      <x:c r="R15" s="2" t="str">
        <x:v>NR</x:v>
      </x:c>
      <x:c r="S15" s="2" t="str">
        <x:v>3 Opus</x:v>
      </x:c>
      <x:c r="T15" s="2" t="str">
        <x:v>NR</x:v>
      </x:c>
      <x:c r="U15" s="2" t="str">
        <x:v>NR</x:v>
      </x:c>
      <x:c r="V15" s="2" t="str">
        <x:v>NR</x:v>
      </x:c>
      <x:c r="W15" s="2" t="str">
        <x:v>NR</x:v>
      </x:c>
      <x:c r="X15" s="2" t="str">
        <x:v>NR</x:v>
      </x:c>
      <x:c r="Y15" s="2" t="str">
        <x:v>NR</x:v>
      </x:c>
      <x:c r="Z15" s="2" t="str">
        <x:v>NR</x:v>
      </x:c>
      <x:c r="AA15" s="2" t="str">
        <x:v>No</x:v>
      </x:c>
      <x:c r="AB15" s="2" t="str">
        <x:v>No</x:v>
      </x:c>
      <x:c r="AC15" s="6" t="str">
        <x:v>p. 18; Section 4.2</x:v>
      </x:c>
      <x:c r="AD15" s="6" t="str">
        <x:v>For the data augmentation task, we utilized a panel of four leading, closed-source LLMs</x:v>
      </x:c>
    </x:row>
    <x:row r="16" ht="76" customHeight="1">
      <x:c r="A16" s="2" t="str">
        <x:v>S12</x:v>
      </x:c>
      <x:c r="B16" s="2" t="str">
        <x:v>2026</x:v>
      </x:c>
      <x:c r="C16" s="2" t="str">
        <x:v>Published</x:v>
      </x:c>
      <x:c r="D16" s="6" t="str">
        <x:v>TraceLLM: Leveraging Large Language Models with Prompt Engineering for Enhanced Requirements Traceability</x:v>
      </x:c>
      <x:c r="E16" s="2" t="str">
        <x:v>S12-MU03</x:v>
      </x:c>
      <x:c r="F16" s="2" t="str">
        <x:v>S12-O01</x:v>
      </x:c>
      <x:c r="G16" s="2" t="str">
        <x:v>S12-T01</x:v>
      </x:c>
      <x:c r="H16" s="2" t="str">
        <x:v>claude-3-5-haiku-20241022</x:v>
      </x:c>
      <x:c r="I16" s="2" t="str">
        <x:v>Claude 3.5 Haiku</x:v>
      </x:c>
      <x:c r="J16" s="2" t="str">
        <x:v>Claude</x:v>
      </x:c>
      <x:c r="K16" s="2" t="str">
        <x:v>Claude 3.5 Haiku</x:v>
      </x:c>
      <x:c r="L16" s="2" t="str">
        <x:v>Closed</x:v>
      </x:c>
      <x:c r="M16" s="2" t="str">
        <x:v>Closed</x:v>
      </x:c>
      <x:c r="N16" s="6" t="str">
        <x:v>Reported in extraction</x:v>
      </x:c>
      <x:c r="O16" s="2" t="str">
        <x:v>Yes</x:v>
      </x:c>
      <x:c r="P16" s="2" t="str"/>
      <x:c r="Q16" s="2" t="str">
        <x:v>API</x:v>
      </x:c>
      <x:c r="R16" s="2" t="str">
        <x:v>OpenRouter</x:v>
      </x:c>
      <x:c r="S16" s="2" t="str">
        <x:v>claude-3-5-haiku-20241022</x:v>
      </x:c>
      <x:c r="T16" s="2" t="str">
        <x:v>NR</x:v>
      </x:c>
      <x:c r="U16" s="2" t="str">
        <x:v>NR</x:v>
      </x:c>
      <x:c r="V16" s="2" t="n">
        <x:v>0</x:v>
      </x:c>
      <x:c r="W16" s="2" t="str">
        <x:v>NR</x:v>
      </x:c>
      <x:c r="X16" s="2" t="str">
        <x:v>NR</x:v>
      </x:c>
      <x:c r="Y16" s="2" t="str">
        <x:v>NR</x:v>
      </x:c>
      <x:c r="Z16" s="2" t="str">
        <x:v>NR</x:v>
      </x:c>
      <x:c r="AA16" s="2" t="str">
        <x:v>Yes</x:v>
      </x:c>
      <x:c r="AB16" s="2" t="str">
        <x:v>No</x:v>
      </x:c>
      <x:c r="AC16" s="6" t="str">
        <x:v>p. 19; Section 5.4</x:v>
      </x:c>
      <x:c r="AD16"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row>
    <x:row r="17" ht="76" customHeight="1">
      <x:c r="A17" s="2" t="str">
        <x:v>S05</x:v>
      </x:c>
      <x:c r="B17" s="2" t="str">
        <x:v>2026</x:v>
      </x:c>
      <x:c r="C17" s="2" t="str">
        <x:v>Published</x:v>
      </x:c>
      <x:c r="D17" s="6" t="str">
        <x:v>Evaluating the Use of LLMs for Documentation to Code Traceability</x:v>
      </x:c>
      <x:c r="E17" s="2" t="str">
        <x:v>S05-MU01</x:v>
      </x:c>
      <x:c r="F17" s="2" t="str">
        <x:v>S05-O03</x:v>
      </x:c>
      <x:c r="G17" s="2" t="str">
        <x:v>S05-T01</x:v>
      </x:c>
      <x:c r="H17" s="2" t="str">
        <x:v>Claude 3.5 Sonnet</x:v>
      </x:c>
      <x:c r="I17" s="2" t="str">
        <x:v>claude-3-5-sonnet-20240620</x:v>
      </x:c>
      <x:c r="J17" s="2" t="str">
        <x:v>Claude</x:v>
      </x:c>
      <x:c r="K17" s="2" t="str">
        <x:v>Claude 3.5 Sonnet</x:v>
      </x:c>
      <x:c r="L17" s="2" t="str">
        <x:v>Closed</x:v>
      </x:c>
      <x:c r="M17" s="2" t="str">
        <x:v>Closed</x:v>
      </x:c>
      <x:c r="N17" s="6" t="str">
        <x:v>Reported in extraction</x:v>
      </x:c>
      <x:c r="O17" s="2" t="str">
        <x:v>Yes</x:v>
      </x:c>
      <x:c r="P17" s="2" t="str"/>
      <x:c r="Q17" s="2" t="str">
        <x:v>API</x:v>
      </x:c>
      <x:c r="R17" s="2" t="str">
        <x:v>Cloud API</x:v>
      </x:c>
      <x:c r="S17" s="2" t="str">
        <x:v>claude-3-5-sonnet-20240620</x:v>
      </x:c>
      <x:c r="T17" s="2" t="str">
        <x:v>NR</x:v>
      </x:c>
      <x:c r="U17" s="2" t="str">
        <x:v>NR</x:v>
      </x:c>
      <x:c r="V17" s="2" t="str">
        <x:v>NR</x:v>
      </x:c>
      <x:c r="W17" s="2" t="str">
        <x:v>NR</x:v>
      </x:c>
      <x:c r="X17" s="2" t="n">
        <x:v>5</x:v>
      </x:c>
      <x:c r="Y17" s="2" t="str">
        <x:v>200k</x:v>
      </x:c>
      <x:c r="Z17" s="2" t="str">
        <x:v>NR</x:v>
      </x:c>
      <x:c r="AA17" s="2" t="str">
        <x:v>No</x:v>
      </x:c>
      <x:c r="AB17" s="2" t="str">
        <x:v>No</x:v>
      </x:c>
      <x:c r="AC17" s="6" t="str">
        <x:v>p. 6; Section 3.1</x:v>
      </x:c>
      <x:c r="AD17" s="6" t="str">
        <x:v>• Claude 3.5 Sonnet (claude-3-5-sonnet-20240620): Chosen for its state-of-the-art performance at the time of evaluation, particularly its reported strengths in reasoning and coding tasks [7], combined with a large 200k token context window. It has an April 2024 knowledge</x:v>
      </x:c>
    </x:row>
    <x:row r="18" ht="76" customHeight="1">
      <x:c r="A18" s="2" t="str">
        <x:v>S05</x:v>
      </x:c>
      <x:c r="B18" s="2" t="str">
        <x:v>2026</x:v>
      </x:c>
      <x:c r="C18" s="2" t="str">
        <x:v>Published</x:v>
      </x:c>
      <x:c r="D18" s="6" t="str">
        <x:v>Evaluating the Use of LLMs for Documentation to Code Traceability</x:v>
      </x:c>
      <x:c r="E18" s="2" t="str">
        <x:v>S05-MU02</x:v>
      </x:c>
      <x:c r="F18" s="2" t="str">
        <x:v>S05-O03</x:v>
      </x:c>
      <x:c r="G18" s="2" t="str">
        <x:v>S05-T02</x:v>
      </x:c>
      <x:c r="H18" s="2" t="str">
        <x:v>Claude 3.5 Sonnet</x:v>
      </x:c>
      <x:c r="I18" s="2" t="str">
        <x:v>claude-3-5-sonnet-20240620</x:v>
      </x:c>
      <x:c r="J18" s="2" t="str">
        <x:v>Claude</x:v>
      </x:c>
      <x:c r="K18" s="2" t="str">
        <x:v>Claude 3.5 Sonnet</x:v>
      </x:c>
      <x:c r="L18" s="2" t="str">
        <x:v>Closed</x:v>
      </x:c>
      <x:c r="M18" s="2" t="str">
        <x:v>Closed</x:v>
      </x:c>
      <x:c r="N18" s="6" t="str">
        <x:v>Reported in extraction</x:v>
      </x:c>
      <x:c r="O18" s="2" t="str">
        <x:v>Yes</x:v>
      </x:c>
      <x:c r="P18" s="2" t="str"/>
      <x:c r="Q18" s="2" t="str">
        <x:v>API</x:v>
      </x:c>
      <x:c r="R18" s="2" t="str">
        <x:v>Cloud API</x:v>
      </x:c>
      <x:c r="S18" s="2" t="str">
        <x:v>claude-3-5-sonnet-20240620</x:v>
      </x:c>
      <x:c r="T18" s="2" t="str">
        <x:v>NR</x:v>
      </x:c>
      <x:c r="U18" s="2" t="str">
        <x:v>NR</x:v>
      </x:c>
      <x:c r="V18" s="2" t="str">
        <x:v>NR</x:v>
      </x:c>
      <x:c r="W18" s="2" t="str">
        <x:v>NR</x:v>
      </x:c>
      <x:c r="X18" s="2" t="n">
        <x:v>5</x:v>
      </x:c>
      <x:c r="Y18" s="2" t="str">
        <x:v>200k</x:v>
      </x:c>
      <x:c r="Z18" s="2" t="str">
        <x:v>NR</x:v>
      </x:c>
      <x:c r="AA18" s="2" t="str">
        <x:v>No</x:v>
      </x:c>
      <x:c r="AB18" s="2" t="str">
        <x:v>No</x:v>
      </x:c>
      <x:c r="AC18" s="6" t="str">
        <x:v>p. 6; Section 3.1</x:v>
      </x:c>
      <x:c r="AD18" s="6" t="str">
        <x:v>• Claude 3.5 Sonnet (claude-3-5-sonnet-20240620): Chosen for its state-of-the-art performance at the time of evaluation, particularly its reported strengths in reasoning and coding tasks [7], combined with a large 200k token context window. It has an April 2024 knowledge</x:v>
      </x:c>
    </x:row>
    <x:row r="19" ht="76" customHeight="1">
      <x:c r="A19" s="2" t="str">
        <x:v>S05</x:v>
      </x:c>
      <x:c r="B19" s="2" t="str">
        <x:v>2026</x:v>
      </x:c>
      <x:c r="C19" s="2" t="str">
        <x:v>Published</x:v>
      </x:c>
      <x:c r="D19" s="6" t="str">
        <x:v>Evaluating the Use of LLMs for Documentation to Code Traceability</x:v>
      </x:c>
      <x:c r="E19" s="2" t="str">
        <x:v>S05-MU03</x:v>
      </x:c>
      <x:c r="F19" s="2" t="str">
        <x:v>S05-O03</x:v>
      </x:c>
      <x:c r="G19" s="2" t="str">
        <x:v>S05-T03</x:v>
      </x:c>
      <x:c r="H19" s="2" t="str">
        <x:v>Claude 3.5 Sonnet</x:v>
      </x:c>
      <x:c r="I19" s="2" t="str">
        <x:v>claude-3-5-sonnet-20240620</x:v>
      </x:c>
      <x:c r="J19" s="2" t="str">
        <x:v>Claude</x:v>
      </x:c>
      <x:c r="K19" s="2" t="str">
        <x:v>Claude 3.5 Sonnet</x:v>
      </x:c>
      <x:c r="L19" s="2" t="str">
        <x:v>Closed</x:v>
      </x:c>
      <x:c r="M19" s="2" t="str">
        <x:v>Closed</x:v>
      </x:c>
      <x:c r="N19" s="6" t="str">
        <x:v>Reported in extraction</x:v>
      </x:c>
      <x:c r="O19" s="2" t="str">
        <x:v>Yes</x:v>
      </x:c>
      <x:c r="P19" s="2" t="str"/>
      <x:c r="Q19" s="2" t="str">
        <x:v>API</x:v>
      </x:c>
      <x:c r="R19" s="2" t="str">
        <x:v>Cloud API</x:v>
      </x:c>
      <x:c r="S19" s="2" t="str">
        <x:v>claude-3-5-sonnet-20240620</x:v>
      </x:c>
      <x:c r="T19" s="2" t="str">
        <x:v>NR</x:v>
      </x:c>
      <x:c r="U19" s="2" t="str">
        <x:v>NR</x:v>
      </x:c>
      <x:c r="V19" s="2" t="str">
        <x:v>NR</x:v>
      </x:c>
      <x:c r="W19" s="2" t="str">
        <x:v>NR</x:v>
      </x:c>
      <x:c r="X19" s="2" t="n">
        <x:v>5</x:v>
      </x:c>
      <x:c r="Y19" s="2" t="str">
        <x:v>200k</x:v>
      </x:c>
      <x:c r="Z19" s="2" t="str">
        <x:v>NR</x:v>
      </x:c>
      <x:c r="AA19" s="2" t="str">
        <x:v>No</x:v>
      </x:c>
      <x:c r="AB19" s="2" t="str">
        <x:v>No</x:v>
      </x:c>
      <x:c r="AC19" s="6" t="str">
        <x:v>p. 6; Section 3.1</x:v>
      </x:c>
      <x:c r="AD19" s="6" t="str">
        <x:v>• Claude 3.5 Sonnet (claude-3-5-sonnet-20240620): Chosen for its state-of-the-art performance at the time of evaluation, particularly its reported strengths in reasoning and coding tasks [7], combined with a large 200k token context window. It has an April 2024 knowledge</x:v>
      </x:c>
    </x:row>
    <x:row r="20" ht="76" customHeight="1">
      <x:c r="A20" s="2" t="str">
        <x:v>S12</x:v>
      </x:c>
      <x:c r="B20" s="2" t="str">
        <x:v>2026</x:v>
      </x:c>
      <x:c r="C20" s="2" t="str">
        <x:v>Published</x:v>
      </x:c>
      <x:c r="D20" s="6" t="str">
        <x:v>TraceLLM: Leveraging Large Language Models with Prompt Engineering for Enhanced Requirements Traceability</x:v>
      </x:c>
      <x:c r="E20" s="2" t="str">
        <x:v>S12-MU04</x:v>
      </x:c>
      <x:c r="F20" s="2" t="str">
        <x:v>S12-O01</x:v>
      </x:c>
      <x:c r="G20" s="2" t="str">
        <x:v>S12-T01</x:v>
      </x:c>
      <x:c r="H20" s="2" t="str">
        <x:v>claude-3-5-sonnet-20241022</x:v>
      </x:c>
      <x:c r="I20" s="2" t="str">
        <x:v>Claude 3.5 Sonnet</x:v>
      </x:c>
      <x:c r="J20" s="2" t="str">
        <x:v>Claude</x:v>
      </x:c>
      <x:c r="K20" s="2" t="str">
        <x:v>Claude 3.5 Sonnet</x:v>
      </x:c>
      <x:c r="L20" s="2" t="str">
        <x:v>Closed</x:v>
      </x:c>
      <x:c r="M20" s="2" t="str">
        <x:v>Closed</x:v>
      </x:c>
      <x:c r="N20" s="6" t="str">
        <x:v>Reported in extraction</x:v>
      </x:c>
      <x:c r="O20" s="2" t="str">
        <x:v>Yes</x:v>
      </x:c>
      <x:c r="P20" s="2" t="str"/>
      <x:c r="Q20" s="2" t="str">
        <x:v>API</x:v>
      </x:c>
      <x:c r="R20" s="2" t="str">
        <x:v>OpenRouter</x:v>
      </x:c>
      <x:c r="S20" s="2" t="str">
        <x:v>claude-3-5-sonnet-20241022</x:v>
      </x:c>
      <x:c r="T20" s="2" t="str">
        <x:v>NR</x:v>
      </x:c>
      <x:c r="U20" s="2" t="str">
        <x:v>NR</x:v>
      </x:c>
      <x:c r="V20" s="2" t="n">
        <x:v>0</x:v>
      </x:c>
      <x:c r="W20" s="2" t="str">
        <x:v>NR</x:v>
      </x:c>
      <x:c r="X20" s="2" t="str">
        <x:v>NR</x:v>
      </x:c>
      <x:c r="Y20" s="2" t="str">
        <x:v>NR</x:v>
      </x:c>
      <x:c r="Z20" s="2" t="str">
        <x:v>NR</x:v>
      </x:c>
      <x:c r="AA20" s="2" t="str">
        <x:v>Yes</x:v>
      </x:c>
      <x:c r="AB20" s="2" t="str">
        <x:v>No</x:v>
      </x:c>
      <x:c r="AC20" s="6" t="str">
        <x:v>p. 19; Section 5.4</x:v>
      </x:c>
      <x:c r="AD20"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row>
    <x:row r="21" ht="76" customHeight="1">
      <x:c r="A21" s="2" t="str">
        <x:v>S29</x:v>
      </x:c>
      <x:c r="B21" s="2" t="str">
        <x:v>2026</x:v>
      </x:c>
      <x:c r="C21" s="2" t="str">
        <x:v>Grey literature</x:v>
      </x:c>
      <x:c r="D21" s="6" t="str">
        <x:v>TVR: Automotive System Requirements Traceability Validation and Recovery Through Retrieval-Augmented Generation</x:v>
      </x:c>
      <x:c r="E21" s="2" t="str">
        <x:v>S29-MU01</x:v>
      </x:c>
      <x:c r="F21" s="2" t="str">
        <x:v>S29-O01</x:v>
      </x:c>
      <x:c r="G21" s="2" t="str">
        <x:v>S29-T01</x:v>
      </x:c>
      <x:c r="H21" s="2" t="str">
        <x:v>Claude 3.5 Sonnet</x:v>
      </x:c>
      <x:c r="I21" s="2" t="str">
        <x:v>Claude 3.5 Sonnet</x:v>
      </x:c>
      <x:c r="J21" s="2" t="str">
        <x:v>Claude</x:v>
      </x:c>
      <x:c r="K21" s="2" t="str">
        <x:v>Claude 3.5 Sonnet</x:v>
      </x:c>
      <x:c r="L21" s="2" t="str">
        <x:v>Closed</x:v>
      </x:c>
      <x:c r="M21" s="2" t="str">
        <x:v>Closed</x:v>
      </x:c>
      <x:c r="N21" s="6" t="str">
        <x:v>Reported in extraction</x:v>
      </x:c>
      <x:c r="O21" s="2" t="str">
        <x:v>Yes</x:v>
      </x:c>
      <x:c r="P21" s="2" t="str"/>
      <x:c r="Q21" s="2" t="str">
        <x:v>API</x:v>
      </x:c>
      <x:c r="R21" s="2" t="str">
        <x:v>Amazon Bedrock 服务</x:v>
      </x:c>
      <x:c r="S21" s="2" t="str">
        <x:v>NR</x:v>
      </x:c>
      <x:c r="T21" s="2" t="str">
        <x:v>NR</x:v>
      </x:c>
      <x:c r="U21" s="2" t="str">
        <x:v>NR</x:v>
      </x:c>
      <x:c r="V21" s="2" t="n">
        <x:v>0</x:v>
      </x:c>
      <x:c r="W21" s="2" t="str">
        <x:v>NR</x:v>
      </x:c>
      <x:c r="X21" s="2" t="n">
        <x:v>1</x:v>
      </x:c>
      <x:c r="Y21" s="2" t="str">
        <x:v>NR</x:v>
      </x:c>
      <x:c r="Z21" s="2" t="str">
        <x:v>NR</x:v>
      </x:c>
      <x:c r="AA21" s="2" t="str">
        <x:v>No</x:v>
      </x:c>
      <x:c r="AB21" s="2" t="str">
        <x:v>No</x:v>
      </x:c>
      <x:c r="AC21" s="6" t="str">
        <x:v>p. 19; Section 5.2</x:v>
      </x:c>
      <x:c r="AD21" s="6" t="str">
        <x:v>Claude 3.5 Sonnet with RAG achieved the best performance in requirements traceability validation</x:v>
      </x:c>
    </x:row>
    <x:row r="22" ht="76" customHeight="1">
      <x:c r="A22" s="2" t="str">
        <x:v>S29</x:v>
      </x:c>
      <x:c r="B22" s="2" t="str">
        <x:v>2026</x:v>
      </x:c>
      <x:c r="C22" s="2" t="str">
        <x:v>Grey literature</x:v>
      </x:c>
      <x:c r="D22" s="6" t="str">
        <x:v>TVR: Automotive System Requirements Traceability Validation and Recovery Through Retrieval-Augmented Generation</x:v>
      </x:c>
      <x:c r="E22" s="2" t="str">
        <x:v>S29-MU02</x:v>
      </x:c>
      <x:c r="F22" s="2" t="str">
        <x:v>S29-O02</x:v>
      </x:c>
      <x:c r="G22" s="2" t="str">
        <x:v>S29-T02</x:v>
      </x:c>
      <x:c r="H22" s="2" t="str">
        <x:v>Claude 3.5 Sonnet</x:v>
      </x:c>
      <x:c r="I22" s="2" t="str">
        <x:v>Claude 3.5 Sonnet</x:v>
      </x:c>
      <x:c r="J22" s="2" t="str">
        <x:v>Claude</x:v>
      </x:c>
      <x:c r="K22" s="2" t="str">
        <x:v>Claude 3.5 Sonnet</x:v>
      </x:c>
      <x:c r="L22" s="2" t="str">
        <x:v>Closed</x:v>
      </x:c>
      <x:c r="M22" s="2" t="str">
        <x:v>Closed</x:v>
      </x:c>
      <x:c r="N22" s="6" t="str">
        <x:v>Reported in extraction</x:v>
      </x:c>
      <x:c r="O22" s="2" t="str">
        <x:v>Yes</x:v>
      </x:c>
      <x:c r="P22" s="2" t="str"/>
      <x:c r="Q22" s="2" t="str">
        <x:v>API</x:v>
      </x:c>
      <x:c r="R22" s="2" t="str">
        <x:v>Amazon Bedrock 服务</x:v>
      </x:c>
      <x:c r="S22" s="2" t="str">
        <x:v>NR</x:v>
      </x:c>
      <x:c r="T22" s="2" t="str">
        <x:v>NR</x:v>
      </x:c>
      <x:c r="U22" s="2" t="str">
        <x:v>NR</x:v>
      </x:c>
      <x:c r="V22" s="2" t="n">
        <x:v>0</x:v>
      </x:c>
      <x:c r="W22" s="2" t="str">
        <x:v>NR</x:v>
      </x:c>
      <x:c r="X22" s="2" t="n">
        <x:v>1</x:v>
      </x:c>
      <x:c r="Y22" s="2" t="str">
        <x:v>NR</x:v>
      </x:c>
      <x:c r="Z22" s="2" t="str">
        <x:v>NR</x:v>
      </x:c>
      <x:c r="AA22" s="2" t="str">
        <x:v>No</x:v>
      </x:c>
      <x:c r="AB22" s="2" t="str">
        <x:v>No</x:v>
      </x:c>
      <x:c r="AC22" s="6" t="str">
        <x:v>p. 21; Section 5.4</x:v>
      </x:c>
      <x:c r="AD22" s="6" t="str">
        <x:v>TVR achieves an 85.50% correctness in recovering missing links</x:v>
      </x:c>
    </x:row>
    <x:row r="23" ht="76" customHeight="1">
      <x:c r="A23" s="2" t="str">
        <x:v>S46</x:v>
      </x:c>
      <x:c r="B23" s="2" t="str">
        <x:v>2025</x:v>
      </x:c>
      <x:c r="C23" s="2" t="str">
        <x:v>Published</x:v>
      </x:c>
      <x:c r="D23" s="6" t="str">
        <x:v>Improving software development traceability with structured prompting</x:v>
      </x:c>
      <x:c r="E23" s="2" t="str">
        <x:v>S46-MU31</x:v>
      </x:c>
      <x:c r="F23" s="2" t="str">
        <x:v>S46-O01</x:v>
      </x:c>
      <x:c r="G23" s="2" t="str">
        <x:v>S46-T01</x:v>
      </x:c>
      <x:c r="H23" s="2" t="str">
        <x:v>Claude (Claude 3.5 Sonnet)</x:v>
      </x:c>
      <x:c r="I23" s="2" t="str">
        <x:v>Claude 3.5 Sonnet</x:v>
      </x:c>
      <x:c r="J23" s="2" t="str">
        <x:v>Claude</x:v>
      </x:c>
      <x:c r="K23" s="2" t="str">
        <x:v>Claude 3.5 Sonnet</x:v>
      </x:c>
      <x:c r="L23" s="2" t="str">
        <x:v>Closed</x:v>
      </x:c>
      <x:c r="M23" s="2" t="str">
        <x:v>Closed</x:v>
      </x:c>
      <x:c r="N23" s="6" t="str">
        <x:v>Reported in extraction</x:v>
      </x:c>
      <x:c r="O23" s="2" t="str">
        <x:v>Yes</x:v>
      </x:c>
      <x:c r="P23" s="2" t="str"/>
      <x:c r="Q23" s="2" t="str">
        <x:v>NR</x:v>
      </x:c>
      <x:c r="R23" s="2" t="str">
        <x:v>NR</x:v>
      </x:c>
      <x:c r="S23" s="2" t="str">
        <x:v>3.5 Sonnet</x:v>
      </x:c>
      <x:c r="T23" s="2" t="str">
        <x:v>NR</x:v>
      </x:c>
      <x:c r="U23" s="2" t="str">
        <x:v>2024-05</x:v>
      </x:c>
      <x:c r="V23" s="2" t="str">
        <x:v>NR</x:v>
      </x:c>
      <x:c r="W23" s="2" t="str">
        <x:v>NR</x:v>
      </x:c>
      <x:c r="X23" s="2" t="str">
        <x:v>NR</x:v>
      </x:c>
      <x:c r="Y23" s="2" t="str">
        <x:v>NR</x:v>
      </x:c>
      <x:c r="Z23" s="2" t="str">
        <x:v>NR</x:v>
      </x:c>
      <x:c r="AA23" s="2" t="str">
        <x:v>No</x:v>
      </x:c>
      <x:c r="AB23" s="2" t="str">
        <x:v>No</x:v>
      </x:c>
      <x:c r="AC23" s="6" t="str">
        <x:v>p. 9; Evaluation section</x:v>
      </x:c>
      <x:c r="AD23" s="6" t="str">
        <x:v>We utilize five prominent AI models—Meta (based on tured prompting, and two to three times more with Meta Llama 3),5 Gemini (no version information structured prompting. Despite Claude and ChatGPT</x:v>
      </x:c>
    </x:row>
    <x:row r="24" ht="76" customHeight="1">
      <x:c r="A24" s="2" t="str">
        <x:v>S46</x:v>
      </x:c>
      <x:c r="B24" s="2" t="str">
        <x:v>2025</x:v>
      </x:c>
      <x:c r="C24" s="2" t="str">
        <x:v>Published</x:v>
      </x:c>
      <x:c r="D24" s="6" t="str">
        <x:v>Improving software development traceability with structured prompting</x:v>
      </x:c>
      <x:c r="E24" s="2" t="str">
        <x:v>S46-MU32</x:v>
      </x:c>
      <x:c r="F24" s="2" t="str">
        <x:v>S46-O02</x:v>
      </x:c>
      <x:c r="G24" s="2" t="str">
        <x:v>S46-T02</x:v>
      </x:c>
      <x:c r="H24" s="2" t="str">
        <x:v>Claude (Claude 3.5 Sonnet)</x:v>
      </x:c>
      <x:c r="I24" s="2" t="str">
        <x:v>Claude 3.5 Sonnet</x:v>
      </x:c>
      <x:c r="J24" s="2" t="str">
        <x:v>Claude</x:v>
      </x:c>
      <x:c r="K24" s="2" t="str">
        <x:v>Claude 3.5 Sonnet</x:v>
      </x:c>
      <x:c r="L24" s="2" t="str">
        <x:v>Closed</x:v>
      </x:c>
      <x:c r="M24" s="2" t="str">
        <x:v>Closed</x:v>
      </x:c>
      <x:c r="N24" s="6" t="str">
        <x:v>Reported in extraction</x:v>
      </x:c>
      <x:c r="O24" s="2" t="str">
        <x:v>Yes</x:v>
      </x:c>
      <x:c r="P24" s="2" t="str"/>
      <x:c r="Q24" s="2" t="str">
        <x:v>NR</x:v>
      </x:c>
      <x:c r="R24" s="2" t="str">
        <x:v>NR</x:v>
      </x:c>
      <x:c r="S24" s="2" t="str">
        <x:v>3.5 Sonnet</x:v>
      </x:c>
      <x:c r="T24" s="2" t="str">
        <x:v>NR</x:v>
      </x:c>
      <x:c r="U24" s="2" t="str">
        <x:v>2024-05</x:v>
      </x:c>
      <x:c r="V24" s="2" t="str">
        <x:v>NR</x:v>
      </x:c>
      <x:c r="W24" s="2" t="str">
        <x:v>NR</x:v>
      </x:c>
      <x:c r="X24" s="2" t="str">
        <x:v>NR</x:v>
      </x:c>
      <x:c r="Y24" s="2" t="str">
        <x:v>NR</x:v>
      </x:c>
      <x:c r="Z24" s="2" t="str">
        <x:v>NR</x:v>
      </x:c>
      <x:c r="AA24" s="2" t="str">
        <x:v>No</x:v>
      </x:c>
      <x:c r="AB24" s="2" t="str">
        <x:v>No</x:v>
      </x:c>
      <x:c r="AC24" s="6" t="str">
        <x:v>p. 9; Evaluation section</x:v>
      </x:c>
      <x:c r="AD24" s="6" t="str">
        <x:v>We utilize five prominent AI models—Meta (based on tured prompting, and two to three times more with Meta Llama 3),5 Gemini (no version information structured prompting. Despite Claude and ChatGPT</x:v>
      </x:c>
    </x:row>
    <x:row r="25" ht="76" customHeight="1">
      <x:c r="A25" s="2" t="str">
        <x:v>S46</x:v>
      </x:c>
      <x:c r="B25" s="2" t="str">
        <x:v>2025</x:v>
      </x:c>
      <x:c r="C25" s="2" t="str">
        <x:v>Published</x:v>
      </x:c>
      <x:c r="D25" s="6" t="str">
        <x:v>Improving software development traceability with structured prompting</x:v>
      </x:c>
      <x:c r="E25" s="2" t="str">
        <x:v>S46-MU33</x:v>
      </x:c>
      <x:c r="F25" s="2" t="str">
        <x:v>S46-O03</x:v>
      </x:c>
      <x:c r="G25" s="2" t="str">
        <x:v>S46-T03</x:v>
      </x:c>
      <x:c r="H25" s="2" t="str">
        <x:v>Claude (Claude 3.5 Sonnet)</x:v>
      </x:c>
      <x:c r="I25" s="2" t="str">
        <x:v>Claude 3.5 Sonnet</x:v>
      </x:c>
      <x:c r="J25" s="2" t="str">
        <x:v>Claude</x:v>
      </x:c>
      <x:c r="K25" s="2" t="str">
        <x:v>Claude 3.5 Sonnet</x:v>
      </x:c>
      <x:c r="L25" s="2" t="str">
        <x:v>Closed</x:v>
      </x:c>
      <x:c r="M25" s="2" t="str">
        <x:v>Closed</x:v>
      </x:c>
      <x:c r="N25" s="6" t="str">
        <x:v>Reported in extraction</x:v>
      </x:c>
      <x:c r="O25" s="2" t="str">
        <x:v>Yes</x:v>
      </x:c>
      <x:c r="P25" s="2" t="str"/>
      <x:c r="Q25" s="2" t="str">
        <x:v>NR</x:v>
      </x:c>
      <x:c r="R25" s="2" t="str">
        <x:v>NR</x:v>
      </x:c>
      <x:c r="S25" s="2" t="str">
        <x:v>3.5 Sonnet</x:v>
      </x:c>
      <x:c r="T25" s="2" t="str">
        <x:v>NR</x:v>
      </x:c>
      <x:c r="U25" s="2" t="str">
        <x:v>2024-05</x:v>
      </x:c>
      <x:c r="V25" s="2" t="str">
        <x:v>NR</x:v>
      </x:c>
      <x:c r="W25" s="2" t="str">
        <x:v>NR</x:v>
      </x:c>
      <x:c r="X25" s="2" t="str">
        <x:v>NR</x:v>
      </x:c>
      <x:c r="Y25" s="2" t="str">
        <x:v>NR</x:v>
      </x:c>
      <x:c r="Z25" s="2" t="str">
        <x:v>NR</x:v>
      </x:c>
      <x:c r="AA25" s="2" t="str">
        <x:v>No</x:v>
      </x:c>
      <x:c r="AB25" s="2" t="str">
        <x:v>No</x:v>
      </x:c>
      <x:c r="AC25" s="6" t="str">
        <x:v>p. 9; Evaluation section</x:v>
      </x:c>
      <x:c r="AD25" s="6" t="str">
        <x:v>We utilize five prominent AI models—Meta (based on tured prompting, and two to three times more with Meta Llama 3),5 Gemini (no version information structured prompting. Despite Claude and ChatGPT</x:v>
      </x:c>
    </x:row>
    <x:row r="26" ht="76" customHeight="1">
      <x:c r="A26" s="2" t="str">
        <x:v>S46</x:v>
      </x:c>
      <x:c r="B26" s="2" t="str">
        <x:v>2025</x:v>
      </x:c>
      <x:c r="C26" s="2" t="str">
        <x:v>Published</x:v>
      </x:c>
      <x:c r="D26" s="6" t="str">
        <x:v>Improving software development traceability with structured prompting</x:v>
      </x:c>
      <x:c r="E26" s="2" t="str">
        <x:v>S46-MU34</x:v>
      </x:c>
      <x:c r="F26" s="2" t="str">
        <x:v>S46-O04</x:v>
      </x:c>
      <x:c r="G26" s="2" t="str">
        <x:v>S46-T04</x:v>
      </x:c>
      <x:c r="H26" s="2" t="str">
        <x:v>Claude (Claude 3.5 Sonnet)</x:v>
      </x:c>
      <x:c r="I26" s="2" t="str">
        <x:v>Claude 3.5 Sonnet</x:v>
      </x:c>
      <x:c r="J26" s="2" t="str">
        <x:v>Claude</x:v>
      </x:c>
      <x:c r="K26" s="2" t="str">
        <x:v>Claude 3.5 Sonnet</x:v>
      </x:c>
      <x:c r="L26" s="2" t="str">
        <x:v>Closed</x:v>
      </x:c>
      <x:c r="M26" s="2" t="str">
        <x:v>Closed</x:v>
      </x:c>
      <x:c r="N26" s="6" t="str">
        <x:v>Reported in extraction</x:v>
      </x:c>
      <x:c r="O26" s="2" t="str">
        <x:v>Yes</x:v>
      </x:c>
      <x:c r="P26" s="2" t="str"/>
      <x:c r="Q26" s="2" t="str">
        <x:v>NR</x:v>
      </x:c>
      <x:c r="R26" s="2" t="str">
        <x:v>NR</x:v>
      </x:c>
      <x:c r="S26" s="2" t="str">
        <x:v>3.5 Sonnet</x:v>
      </x:c>
      <x:c r="T26" s="2" t="str">
        <x:v>NR</x:v>
      </x:c>
      <x:c r="U26" s="2" t="str">
        <x:v>2024-05</x:v>
      </x:c>
      <x:c r="V26" s="2" t="str">
        <x:v>NR</x:v>
      </x:c>
      <x:c r="W26" s="2" t="str">
        <x:v>NR</x:v>
      </x:c>
      <x:c r="X26" s="2" t="str">
        <x:v>NR</x:v>
      </x:c>
      <x:c r="Y26" s="2" t="str">
        <x:v>NR</x:v>
      </x:c>
      <x:c r="Z26" s="2" t="str">
        <x:v>NR</x:v>
      </x:c>
      <x:c r="AA26" s="2" t="str">
        <x:v>No</x:v>
      </x:c>
      <x:c r="AB26" s="2" t="str">
        <x:v>No</x:v>
      </x:c>
      <x:c r="AC26" s="6" t="str">
        <x:v>p. 9; Evaluation section</x:v>
      </x:c>
      <x:c r="AD26" s="6" t="str">
        <x:v>We utilize five prominent AI models—Meta (based on tured prompting, and two to three times more with Meta Llama 3),5 Gemini (no version information structured prompting. Despite Claude and ChatGPT</x:v>
      </x:c>
    </x:row>
    <x:row r="27" ht="76" customHeight="1">
      <x:c r="A27" s="2" t="str">
        <x:v>S46</x:v>
      </x:c>
      <x:c r="B27" s="2" t="str">
        <x:v>2025</x:v>
      </x:c>
      <x:c r="C27" s="2" t="str">
        <x:v>Published</x:v>
      </x:c>
      <x:c r="D27" s="6" t="str">
        <x:v>Improving software development traceability with structured prompting</x:v>
      </x:c>
      <x:c r="E27" s="2" t="str">
        <x:v>S46-MU35</x:v>
      </x:c>
      <x:c r="F27" s="2" t="str">
        <x:v>S46-O05</x:v>
      </x:c>
      <x:c r="G27" s="2" t="str">
        <x:v>S46-T05</x:v>
      </x:c>
      <x:c r="H27" s="2" t="str">
        <x:v>Claude (Claude 3.5 Sonnet)</x:v>
      </x:c>
      <x:c r="I27" s="2" t="str">
        <x:v>Claude 3.5 Sonnet</x:v>
      </x:c>
      <x:c r="J27" s="2" t="str">
        <x:v>Claude</x:v>
      </x:c>
      <x:c r="K27" s="2" t="str">
        <x:v>Claude 3.5 Sonnet</x:v>
      </x:c>
      <x:c r="L27" s="2" t="str">
        <x:v>Closed</x:v>
      </x:c>
      <x:c r="M27" s="2" t="str">
        <x:v>Closed</x:v>
      </x:c>
      <x:c r="N27" s="6" t="str">
        <x:v>Reported in extraction</x:v>
      </x:c>
      <x:c r="O27" s="2" t="str">
        <x:v>Yes</x:v>
      </x:c>
      <x:c r="P27" s="2" t="str"/>
      <x:c r="Q27" s="2" t="str">
        <x:v>NR</x:v>
      </x:c>
      <x:c r="R27" s="2" t="str">
        <x:v>NR</x:v>
      </x:c>
      <x:c r="S27" s="2" t="str">
        <x:v>3.5 Sonnet</x:v>
      </x:c>
      <x:c r="T27" s="2" t="str">
        <x:v>NR</x:v>
      </x:c>
      <x:c r="U27" s="2" t="str">
        <x:v>2024-05</x:v>
      </x:c>
      <x:c r="V27" s="2" t="str">
        <x:v>NR</x:v>
      </x:c>
      <x:c r="W27" s="2" t="str">
        <x:v>NR</x:v>
      </x:c>
      <x:c r="X27" s="2" t="str">
        <x:v>NR</x:v>
      </x:c>
      <x:c r="Y27" s="2" t="str">
        <x:v>NR</x:v>
      </x:c>
      <x:c r="Z27" s="2" t="str">
        <x:v>NR</x:v>
      </x:c>
      <x:c r="AA27" s="2" t="str">
        <x:v>No</x:v>
      </x:c>
      <x:c r="AB27" s="2" t="str">
        <x:v>No</x:v>
      </x:c>
      <x:c r="AC27" s="6" t="str">
        <x:v>p. 9; Evaluation section</x:v>
      </x:c>
      <x:c r="AD27" s="6" t="str">
        <x:v>We utilize five prominent AI models—Meta (based on tured prompting, and two to three times more with Meta Llama 3),5 Gemini (no version information structured prompting. Despite Claude and ChatGPT</x:v>
      </x:c>
    </x:row>
    <x:row r="28" ht="76" customHeight="1">
      <x:c r="A28" s="2" t="str">
        <x:v>S46</x:v>
      </x:c>
      <x:c r="B28" s="2" t="str">
        <x:v>2025</x:v>
      </x:c>
      <x:c r="C28" s="2" t="str">
        <x:v>Published</x:v>
      </x:c>
      <x:c r="D28" s="6" t="str">
        <x:v>Improving software development traceability with structured prompting</x:v>
      </x:c>
      <x:c r="E28" s="2" t="str">
        <x:v>S46-MU36</x:v>
      </x:c>
      <x:c r="F28" s="2" t="str">
        <x:v>S46-O06</x:v>
      </x:c>
      <x:c r="G28" s="2" t="str">
        <x:v>S46-T06</x:v>
      </x:c>
      <x:c r="H28" s="2" t="str">
        <x:v>Claude (Claude 3.5 Sonnet)</x:v>
      </x:c>
      <x:c r="I28" s="2" t="str">
        <x:v>Claude 3.5 Sonnet</x:v>
      </x:c>
      <x:c r="J28" s="2" t="str">
        <x:v>Claude</x:v>
      </x:c>
      <x:c r="K28" s="2" t="str">
        <x:v>Claude 3.5 Sonnet</x:v>
      </x:c>
      <x:c r="L28" s="2" t="str">
        <x:v>Closed</x:v>
      </x:c>
      <x:c r="M28" s="2" t="str">
        <x:v>Closed</x:v>
      </x:c>
      <x:c r="N28" s="6" t="str">
        <x:v>Reported in extraction</x:v>
      </x:c>
      <x:c r="O28" s="2" t="str">
        <x:v>Yes</x:v>
      </x:c>
      <x:c r="P28" s="2" t="str"/>
      <x:c r="Q28" s="2" t="str">
        <x:v>NR</x:v>
      </x:c>
      <x:c r="R28" s="2" t="str">
        <x:v>NR</x:v>
      </x:c>
      <x:c r="S28" s="2" t="str">
        <x:v>3.5 Sonnet</x:v>
      </x:c>
      <x:c r="T28" s="2" t="str">
        <x:v>NR</x:v>
      </x:c>
      <x:c r="U28" s="2" t="str">
        <x:v>2024-05</x:v>
      </x:c>
      <x:c r="V28" s="2" t="str">
        <x:v>NR</x:v>
      </x:c>
      <x:c r="W28" s="2" t="str">
        <x:v>NR</x:v>
      </x:c>
      <x:c r="X28" s="2" t="str">
        <x:v>NR</x:v>
      </x:c>
      <x:c r="Y28" s="2" t="str">
        <x:v>NR</x:v>
      </x:c>
      <x:c r="Z28" s="2" t="str">
        <x:v>NR</x:v>
      </x:c>
      <x:c r="AA28" s="2" t="str">
        <x:v>No</x:v>
      </x:c>
      <x:c r="AB28" s="2" t="str">
        <x:v>No</x:v>
      </x:c>
      <x:c r="AC28" s="6" t="str">
        <x:v>p. 9; Evaluation section</x:v>
      </x:c>
      <x:c r="AD28" s="6" t="str">
        <x:v>We utilize five prominent AI models—Meta (based on tured prompting, and two to three times more with Meta Llama 3),5 Gemini (no version information structured prompting. Despite Claude and ChatGPT</x:v>
      </x:c>
    </x:row>
    <x:row r="29" ht="76" customHeight="1">
      <x:c r="A29" s="2" t="str">
        <x:v>S46</x:v>
      </x:c>
      <x:c r="B29" s="2" t="str">
        <x:v>2025</x:v>
      </x:c>
      <x:c r="C29" s="2" t="str">
        <x:v>Published</x:v>
      </x:c>
      <x:c r="D29" s="6" t="str">
        <x:v>Improving software development traceability with structured prompting</x:v>
      </x:c>
      <x:c r="E29" s="2" t="str">
        <x:v>S46-MU37</x:v>
      </x:c>
      <x:c r="F29" s="2" t="str">
        <x:v>S46-O07</x:v>
      </x:c>
      <x:c r="G29" s="2" t="str">
        <x:v>S46-T07</x:v>
      </x:c>
      <x:c r="H29" s="2" t="str">
        <x:v>Claude (Claude 3.5 Sonnet)</x:v>
      </x:c>
      <x:c r="I29" s="2" t="str">
        <x:v>Claude 3.5 Sonnet</x:v>
      </x:c>
      <x:c r="J29" s="2" t="str">
        <x:v>Claude</x:v>
      </x:c>
      <x:c r="K29" s="2" t="str">
        <x:v>Claude 3.5 Sonnet</x:v>
      </x:c>
      <x:c r="L29" s="2" t="str">
        <x:v>Closed</x:v>
      </x:c>
      <x:c r="M29" s="2" t="str">
        <x:v>Closed</x:v>
      </x:c>
      <x:c r="N29" s="6" t="str">
        <x:v>Reported in extraction</x:v>
      </x:c>
      <x:c r="O29" s="2" t="str">
        <x:v>Yes</x:v>
      </x:c>
      <x:c r="P29" s="2" t="str"/>
      <x:c r="Q29" s="2" t="str">
        <x:v>NR</x:v>
      </x:c>
      <x:c r="R29" s="2" t="str">
        <x:v>NR</x:v>
      </x:c>
      <x:c r="S29" s="2" t="str">
        <x:v>3.5 Sonnet</x:v>
      </x:c>
      <x:c r="T29" s="2" t="str">
        <x:v>NR</x:v>
      </x:c>
      <x:c r="U29" s="2" t="str">
        <x:v>2024-05</x:v>
      </x:c>
      <x:c r="V29" s="2" t="str">
        <x:v>NR</x:v>
      </x:c>
      <x:c r="W29" s="2" t="str">
        <x:v>NR</x:v>
      </x:c>
      <x:c r="X29" s="2" t="str">
        <x:v>NR</x:v>
      </x:c>
      <x:c r="Y29" s="2" t="str">
        <x:v>NR</x:v>
      </x:c>
      <x:c r="Z29" s="2" t="str">
        <x:v>NR</x:v>
      </x:c>
      <x:c r="AA29" s="2" t="str">
        <x:v>No</x:v>
      </x:c>
      <x:c r="AB29" s="2" t="str">
        <x:v>No</x:v>
      </x:c>
      <x:c r="AC29" s="6" t="str">
        <x:v>p. 9; Evaluation section</x:v>
      </x:c>
      <x:c r="AD29" s="6" t="str">
        <x:v>We utilize five prominent AI models—Meta (based on tured prompting, and two to three times more with Meta Llama 3),5 Gemini (no version information structured prompting. Despite Claude and ChatGPT</x:v>
      </x:c>
    </x:row>
    <x:row r="30" ht="76" customHeight="1">
      <x:c r="A30" s="2" t="str">
        <x:v>S46</x:v>
      </x:c>
      <x:c r="B30" s="2" t="str">
        <x:v>2025</x:v>
      </x:c>
      <x:c r="C30" s="2" t="str">
        <x:v>Published</x:v>
      </x:c>
      <x:c r="D30" s="6" t="str">
        <x:v>Improving software development traceability with structured prompting</x:v>
      </x:c>
      <x:c r="E30" s="2" t="str">
        <x:v>S46-MU38</x:v>
      </x:c>
      <x:c r="F30" s="2" t="str">
        <x:v>S46-O08</x:v>
      </x:c>
      <x:c r="G30" s="2" t="str">
        <x:v>S46-T08</x:v>
      </x:c>
      <x:c r="H30" s="2" t="str">
        <x:v>Claude (Claude 3.5 Sonnet)</x:v>
      </x:c>
      <x:c r="I30" s="2" t="str">
        <x:v>Claude 3.5 Sonnet</x:v>
      </x:c>
      <x:c r="J30" s="2" t="str">
        <x:v>Claude</x:v>
      </x:c>
      <x:c r="K30" s="2" t="str">
        <x:v>Claude 3.5 Sonnet</x:v>
      </x:c>
      <x:c r="L30" s="2" t="str">
        <x:v>Closed</x:v>
      </x:c>
      <x:c r="M30" s="2" t="str">
        <x:v>Closed</x:v>
      </x:c>
      <x:c r="N30" s="6" t="str">
        <x:v>Reported in extraction</x:v>
      </x:c>
      <x:c r="O30" s="2" t="str">
        <x:v>Yes</x:v>
      </x:c>
      <x:c r="P30" s="2" t="str"/>
      <x:c r="Q30" s="2" t="str">
        <x:v>NR</x:v>
      </x:c>
      <x:c r="R30" s="2" t="str">
        <x:v>NR</x:v>
      </x:c>
      <x:c r="S30" s="2" t="str">
        <x:v>3.5 Sonnet</x:v>
      </x:c>
      <x:c r="T30" s="2" t="str">
        <x:v>NR</x:v>
      </x:c>
      <x:c r="U30" s="2" t="str">
        <x:v>2024-05</x:v>
      </x:c>
      <x:c r="V30" s="2" t="str">
        <x:v>NR</x:v>
      </x:c>
      <x:c r="W30" s="2" t="str">
        <x:v>NR</x:v>
      </x:c>
      <x:c r="X30" s="2" t="str">
        <x:v>NR</x:v>
      </x:c>
      <x:c r="Y30" s="2" t="str">
        <x:v>NR</x:v>
      </x:c>
      <x:c r="Z30" s="2" t="str">
        <x:v>NR</x:v>
      </x:c>
      <x:c r="AA30" s="2" t="str">
        <x:v>No</x:v>
      </x:c>
      <x:c r="AB30" s="2" t="str">
        <x:v>No</x:v>
      </x:c>
      <x:c r="AC30" s="6" t="str">
        <x:v>p. 9; Evaluation section</x:v>
      </x:c>
      <x:c r="AD30" s="6" t="str">
        <x:v>We utilize five prominent AI models—Meta (based on tured prompting, and two to three times more with Meta Llama 3),5 Gemini (no version information structured prompting. Despite Claude and ChatGPT</x:v>
      </x:c>
    </x:row>
    <x:row r="31" ht="76" customHeight="1">
      <x:c r="A31" s="2" t="str">
        <x:v>S46</x:v>
      </x:c>
      <x:c r="B31" s="2" t="str">
        <x:v>2025</x:v>
      </x:c>
      <x:c r="C31" s="2" t="str">
        <x:v>Published</x:v>
      </x:c>
      <x:c r="D31" s="6" t="str">
        <x:v>Improving software development traceability with structured prompting</x:v>
      </x:c>
      <x:c r="E31" s="2" t="str">
        <x:v>S46-MU39</x:v>
      </x:c>
      <x:c r="F31" s="2" t="str">
        <x:v>S46-O09</x:v>
      </x:c>
      <x:c r="G31" s="2" t="str">
        <x:v>S46-T09</x:v>
      </x:c>
      <x:c r="H31" s="2" t="str">
        <x:v>Claude (Claude 3.5 Sonnet)</x:v>
      </x:c>
      <x:c r="I31" s="2" t="str">
        <x:v>Claude 3.5 Sonnet</x:v>
      </x:c>
      <x:c r="J31" s="2" t="str">
        <x:v>Claude</x:v>
      </x:c>
      <x:c r="K31" s="2" t="str">
        <x:v>Claude 3.5 Sonnet</x:v>
      </x:c>
      <x:c r="L31" s="2" t="str">
        <x:v>Closed</x:v>
      </x:c>
      <x:c r="M31" s="2" t="str">
        <x:v>Closed</x:v>
      </x:c>
      <x:c r="N31" s="6" t="str">
        <x:v>Reported in extraction</x:v>
      </x:c>
      <x:c r="O31" s="2" t="str">
        <x:v>Yes</x:v>
      </x:c>
      <x:c r="P31" s="2" t="str"/>
      <x:c r="Q31" s="2" t="str">
        <x:v>NR</x:v>
      </x:c>
      <x:c r="R31" s="2" t="str">
        <x:v>NR</x:v>
      </x:c>
      <x:c r="S31" s="2" t="str">
        <x:v>3.5 Sonnet</x:v>
      </x:c>
      <x:c r="T31" s="2" t="str">
        <x:v>NR</x:v>
      </x:c>
      <x:c r="U31" s="2" t="str">
        <x:v>2024-05</x:v>
      </x:c>
      <x:c r="V31" s="2" t="str">
        <x:v>NR</x:v>
      </x:c>
      <x:c r="W31" s="2" t="str">
        <x:v>NR</x:v>
      </x:c>
      <x:c r="X31" s="2" t="str">
        <x:v>NR</x:v>
      </x:c>
      <x:c r="Y31" s="2" t="str">
        <x:v>NR</x:v>
      </x:c>
      <x:c r="Z31" s="2" t="str">
        <x:v>NR</x:v>
      </x:c>
      <x:c r="AA31" s="2" t="str">
        <x:v>No</x:v>
      </x:c>
      <x:c r="AB31" s="2" t="str">
        <x:v>No</x:v>
      </x:c>
      <x:c r="AC31" s="6" t="str">
        <x:v>p. 9; Evaluation section</x:v>
      </x:c>
      <x:c r="AD31" s="6" t="str">
        <x:v>We utilize five prominent AI models—Meta (based on tured prompting, and two to three times more with Meta Llama 3),5 Gemini (no version information structured prompting. Despite Claude and ChatGPT</x:v>
      </x:c>
    </x:row>
    <x:row r="32" ht="76" customHeight="1">
      <x:c r="A32" s="2" t="str">
        <x:v>S46</x:v>
      </x:c>
      <x:c r="B32" s="2" t="str">
        <x:v>2025</x:v>
      </x:c>
      <x:c r="C32" s="2" t="str">
        <x:v>Published</x:v>
      </x:c>
      <x:c r="D32" s="6" t="str">
        <x:v>Improving software development traceability with structured prompting</x:v>
      </x:c>
      <x:c r="E32" s="2" t="str">
        <x:v>S46-MU40</x:v>
      </x:c>
      <x:c r="F32" s="2" t="str">
        <x:v>S46-O10</x:v>
      </x:c>
      <x:c r="G32" s="2" t="str">
        <x:v>S46-T10</x:v>
      </x:c>
      <x:c r="H32" s="2" t="str">
        <x:v>Claude (Claude 3.5 Sonnet)</x:v>
      </x:c>
      <x:c r="I32" s="2" t="str">
        <x:v>Claude 3.5 Sonnet</x:v>
      </x:c>
      <x:c r="J32" s="2" t="str">
        <x:v>Claude</x:v>
      </x:c>
      <x:c r="K32" s="2" t="str">
        <x:v>Claude 3.5 Sonnet</x:v>
      </x:c>
      <x:c r="L32" s="2" t="str">
        <x:v>Closed</x:v>
      </x:c>
      <x:c r="M32" s="2" t="str">
        <x:v>Closed</x:v>
      </x:c>
      <x:c r="N32" s="6" t="str">
        <x:v>Reported in extraction</x:v>
      </x:c>
      <x:c r="O32" s="2" t="str">
        <x:v>Yes</x:v>
      </x:c>
      <x:c r="P32" s="2" t="str"/>
      <x:c r="Q32" s="2" t="str">
        <x:v>NR</x:v>
      </x:c>
      <x:c r="R32" s="2" t="str">
        <x:v>NR</x:v>
      </x:c>
      <x:c r="S32" s="2" t="str">
        <x:v>3.5 Sonnet</x:v>
      </x:c>
      <x:c r="T32" s="2" t="str">
        <x:v>NR</x:v>
      </x:c>
      <x:c r="U32" s="2" t="str">
        <x:v>2024-05</x:v>
      </x:c>
      <x:c r="V32" s="2" t="str">
        <x:v>NR</x:v>
      </x:c>
      <x:c r="W32" s="2" t="str">
        <x:v>NR</x:v>
      </x:c>
      <x:c r="X32" s="2" t="str">
        <x:v>NR</x:v>
      </x:c>
      <x:c r="Y32" s="2" t="str">
        <x:v>NR</x:v>
      </x:c>
      <x:c r="Z32" s="2" t="str">
        <x:v>NR</x:v>
      </x:c>
      <x:c r="AA32" s="2" t="str">
        <x:v>No</x:v>
      </x:c>
      <x:c r="AB32" s="2" t="str">
        <x:v>No</x:v>
      </x:c>
      <x:c r="AC32" s="6" t="str">
        <x:v>p. 9; Evaluation section</x:v>
      </x:c>
      <x:c r="AD32" s="6" t="str">
        <x:v>We utilize five prominent AI models—Meta (based on tured prompting, and two to three times more with Meta Llama 3),5 Gemini (no version information structured prompting. Despite Claude and ChatGPT</x:v>
      </x:c>
    </x:row>
    <x:row r="33" ht="76" customHeight="1">
      <x:c r="A33" s="2" t="str">
        <x:v>S51</x:v>
      </x:c>
      <x:c r="B33" s="2" t="str">
        <x:v>2024</x:v>
      </x:c>
      <x:c r="C33" s="2" t="str">
        <x:v>Published</x:v>
      </x:c>
      <x:c r="D33" s="6" t="str">
        <x:v>Exploring LLMs for Verifying Technical System Specifications Against Requirements</x:v>
      </x:c>
      <x:c r="E33" s="2" t="str">
        <x:v>S51-MU04</x:v>
      </x:c>
      <x:c r="F33" s="2" t="str">
        <x:v>S51-O01</x:v>
      </x:c>
      <x:c r="G33" s="2" t="str">
        <x:v>S51-T01</x:v>
      </x:c>
      <x:c r="H33" s="2" t="str">
        <x:v>Claude 3.5 Sonnet</x:v>
      </x:c>
      <x:c r="I33" s="2" t="str">
        <x:v>Claude 3.5 Sonnet-20240620</x:v>
      </x:c>
      <x:c r="J33" s="2" t="str">
        <x:v>Claude</x:v>
      </x:c>
      <x:c r="K33" s="2" t="str">
        <x:v>Claude 3.5 Sonnet</x:v>
      </x:c>
      <x:c r="L33" s="2" t="str">
        <x:v>Closed</x:v>
      </x:c>
      <x:c r="M33" s="2" t="str">
        <x:v>Closed</x:v>
      </x:c>
      <x:c r="N33" s="6" t="str">
        <x:v>Reported in extraction</x:v>
      </x:c>
      <x:c r="O33" s="2" t="str">
        <x:v>Yes</x:v>
      </x:c>
      <x:c r="P33" s="2" t="str"/>
      <x:c r="Q33" s="2" t="str">
        <x:v>API</x:v>
      </x:c>
      <x:c r="R33" s="2" t="str">
        <x:v>NR</x:v>
      </x:c>
      <x:c r="S33" s="2" t="str">
        <x:v>claude-3-5-sonnet-20240620</x:v>
      </x:c>
      <x:c r="T33" s="2" t="str">
        <x:v>NR</x:v>
      </x:c>
      <x:c r="U33" s="2" t="str">
        <x:v>2024-09-17 to 2024-10-07</x:v>
      </x:c>
      <x:c r="V33" s="2" t="str">
        <x:v>NR</x:v>
      </x:c>
      <x:c r="W33" s="2" t="str">
        <x:v>NR</x:v>
      </x:c>
      <x:c r="X33" s="2" t="n">
        <x:v>3</x:v>
      </x:c>
      <x:c r="Y33" s="2" t="str">
        <x:v>NR</x:v>
      </x:c>
      <x:c r="Z33" s="2" t="str">
        <x:v>NR</x:v>
      </x:c>
      <x:c r="AA33" s="2" t="str">
        <x:v>No</x:v>
      </x:c>
      <x:c r="AB33" s="2" t="str">
        <x:v>No</x:v>
      </x:c>
      <x:c r="AC33" s="6" t="str">
        <x:v>p. 4; Section III-C. Experimental Variables</x:v>
      </x:c>
      <x:c r="AD33" s="6" t="str">
        <x:v>Four different LLMs are used in the experiments and compared to one another: GPT-4o, GPT-3.5-turbo, Gemini-1.5, and Claude 3.5 Sonnet.</x:v>
      </x:c>
    </x:row>
    <x:row r="34" ht="76" customHeight="1">
      <x:c r="A34" s="2" t="str">
        <x:v>S34</x:v>
      </x:c>
      <x:c r="B34" s="2" t="str">
        <x:v>2025</x:v>
      </x:c>
      <x:c r="C34" s="2" t="str">
        <x:v>Grey literature</x:v>
      </x:c>
      <x:c r="D34" s="6" t="str">
        <x:v>Behavioral Augmentation of UML Class Diagrams: An Empirical Study of Large Language Models for Method Generation</x:v>
      </x:c>
      <x:c r="E34" s="2" t="str">
        <x:v>S34-MU01</x:v>
      </x:c>
      <x:c r="F34" s="2" t="str">
        <x:v>S34-O01</x:v>
      </x:c>
      <x:c r="G34" s="2" t="str">
        <x:v>S34-T01</x:v>
      </x:c>
      <x:c r="H34" s="2" t="str">
        <x:v>Claude 3.7</x:v>
      </x:c>
      <x:c r="I34" s="2" t="str">
        <x:v>Claude 3.7 Sonnet</x:v>
      </x:c>
      <x:c r="J34" s="2" t="str">
        <x:v>Claude</x:v>
      </x:c>
      <x:c r="K34" s="2" t="str">
        <x:v>Claude 3.7 Sonnet</x:v>
      </x:c>
      <x:c r="L34" s="2" t="str">
        <x:v>Closed</x:v>
      </x:c>
      <x:c r="M34" s="2" t="str">
        <x:v>Closed</x:v>
      </x:c>
      <x:c r="N34" s="6" t="str">
        <x:v>Reported in extraction</x:v>
      </x:c>
      <x:c r="O34" s="2" t="str">
        <x:v>Yes</x:v>
      </x:c>
      <x:c r="P34" s="2" t="str"/>
      <x:c r="Q34" s="2" t="str">
        <x:v>NR</x:v>
      </x:c>
      <x:c r="R34" s="2" t="str">
        <x:v>NR</x:v>
      </x:c>
      <x:c r="S34" s="2" t="str">
        <x:v>3.7 Sonnet</x:v>
      </x:c>
      <x:c r="T34" s="2" t="str">
        <x:v>Undisclosed</x:v>
      </x:c>
      <x:c r="U34" s="2" t="str">
        <x:v>NR</x:v>
      </x:c>
      <x:c r="V34" s="2" t="str">
        <x:v>NR</x:v>
      </x:c>
      <x:c r="W34" s="2" t="str">
        <x:v>NR</x:v>
      </x:c>
      <x:c r="X34" s="2" t="n">
        <x:v>10</x:v>
      </x:c>
      <x:c r="Y34" s="2" t="str">
        <x:v>200K tokens (500K enterprise)</x:v>
      </x:c>
      <x:c r="Z34" s="2" t="str">
        <x:v>NR</x:v>
      </x:c>
      <x:c r="AA34" s="2" t="str">
        <x:v>No</x:v>
      </x:c>
      <x:c r="AB34" s="2" t="str">
        <x:v>Yes</x:v>
      </x:c>
      <x:c r="AC34" s="6" t="str">
        <x:v>p. 2; Section 1, last paragraph</x:v>
      </x:c>
      <x:c r="AD34" s="6" t="str">
        <x:v>nine state-of-the-art LLMs—Claude 3.7, Gemini 2.5 Pro, Grok 3, Qwen 3, DeepSeek-R1, GPT-4o, ChatGPT-o3, Llama 4, and Mixtral 8×22B</x:v>
      </x:c>
    </x:row>
    <x:row r="35" ht="76" customHeight="1">
      <x:c r="A35" s="2" t="str">
        <x:v>S41</x:v>
      </x:c>
      <x:c r="B35" s="2" t="str">
        <x:v>2026</x:v>
      </x:c>
      <x:c r="C35" s="2" t="str">
        <x:v>Published</x:v>
      </x:c>
      <x:c r="D35" s="6" t="str">
        <x:v>SELink: A semantic-enhanced modular framework for issue–commit link recovery</x:v>
      </x:c>
      <x:c r="E35" s="2" t="str">
        <x:v>S41-MU05</x:v>
      </x:c>
      <x:c r="F35" s="2" t="str">
        <x:v>S41-O01</x:v>
      </x:c>
      <x:c r="G35" s="2" t="str">
        <x:v>S41-T01</x:v>
      </x:c>
      <x:c r="H35" s="2" t="str">
        <x:v>Claude-3.7-Sonnet</x:v>
      </x:c>
      <x:c r="I35" s="2" t="str">
        <x:v>claude-3.7-sonnet</x:v>
      </x:c>
      <x:c r="J35" s="2" t="str">
        <x:v>Claude</x:v>
      </x:c>
      <x:c r="K35" s="2" t="str">
        <x:v>Claude 3.7 Sonnet</x:v>
      </x:c>
      <x:c r="L35" s="2" t="str">
        <x:v>Closed</x:v>
      </x:c>
      <x:c r="M35" s="2" t="str">
        <x:v>Closed</x:v>
      </x:c>
      <x:c r="N35" s="6" t="str">
        <x:v>Reported in extraction</x:v>
      </x:c>
      <x:c r="O35" s="2" t="str">
        <x:v>Yes</x:v>
      </x:c>
      <x:c r="P35" s="2" t="str"/>
      <x:c r="Q35" s="2" t="str">
        <x:v>API</x:v>
      </x:c>
      <x:c r="R35" s="2" t="str">
        <x:v>NR</x:v>
      </x:c>
      <x:c r="S35" s="2" t="str">
        <x:v>3.7-Sonnet</x:v>
      </x:c>
      <x:c r="T35" s="2" t="str">
        <x:v>NR</x:v>
      </x:c>
      <x:c r="U35" s="2" t="str">
        <x:v>NR</x:v>
      </x:c>
      <x:c r="V35" s="2" t="n">
        <x:v>0</x:v>
      </x:c>
      <x:c r="W35" s="2" t="str">
        <x:v>NR</x:v>
      </x:c>
      <x:c r="X35" s="2" t="n">
        <x:v>5</x:v>
      </x:c>
      <x:c r="Y35" s="2" t="str">
        <x:v>NR</x:v>
      </x:c>
      <x:c r="Z35" s="2" t="str">
        <x:v>NR</x:v>
      </x:c>
      <x:c r="AA35" s="2" t="str">
        <x:v>No</x:v>
      </x:c>
      <x:c r="AB35" s="2" t="str">
        <x:v>No</x:v>
      </x:c>
      <x:c r="AC35" s="6" t="str">
        <x:v>p. 11; Section 4.4</x:v>
      </x:c>
      <x:c r="AD35"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row>
    <x:row r="36" ht="76" customHeight="1">
      <x:c r="A36" s="2" t="str">
        <x:v>S41</x:v>
      </x:c>
      <x:c r="B36" s="2" t="str">
        <x:v>2026</x:v>
      </x:c>
      <x:c r="C36" s="2" t="str">
        <x:v>Published</x:v>
      </x:c>
      <x:c r="D36" s="6" t="str">
        <x:v>SELink: A semantic-enhanced modular framework for issue–commit link recovery</x:v>
      </x:c>
      <x:c r="E36" s="2" t="str">
        <x:v>S41-MU06</x:v>
      </x:c>
      <x:c r="F36" s="2" t="str">
        <x:v>S41-O02</x:v>
      </x:c>
      <x:c r="G36" s="2" t="str">
        <x:v>S41-T01</x:v>
      </x:c>
      <x:c r="H36" s="2" t="str">
        <x:v>Claude-3.7-Sonnet</x:v>
      </x:c>
      <x:c r="I36" s="2" t="str">
        <x:v>claude-3.7-sonnet</x:v>
      </x:c>
      <x:c r="J36" s="2" t="str">
        <x:v>Claude</x:v>
      </x:c>
      <x:c r="K36" s="2" t="str">
        <x:v>Claude 3.7 Sonnet</x:v>
      </x:c>
      <x:c r="L36" s="2" t="str">
        <x:v>Closed</x:v>
      </x:c>
      <x:c r="M36" s="2" t="str">
        <x:v>Closed</x:v>
      </x:c>
      <x:c r="N36" s="6" t="str">
        <x:v>Reported in extraction</x:v>
      </x:c>
      <x:c r="O36" s="2" t="str">
        <x:v>Yes</x:v>
      </x:c>
      <x:c r="P36" s="2" t="str"/>
      <x:c r="Q36" s="2" t="str">
        <x:v>API</x:v>
      </x:c>
      <x:c r="R36" s="2" t="str">
        <x:v>NR</x:v>
      </x:c>
      <x:c r="S36" s="2" t="str">
        <x:v>3.7-Sonnet</x:v>
      </x:c>
      <x:c r="T36" s="2" t="str">
        <x:v>NR</x:v>
      </x:c>
      <x:c r="U36" s="2" t="str">
        <x:v>NR</x:v>
      </x:c>
      <x:c r="V36" s="2" t="n">
        <x:v>0</x:v>
      </x:c>
      <x:c r="W36" s="2" t="str">
        <x:v>NR</x:v>
      </x:c>
      <x:c r="X36" s="2" t="n">
        <x:v>5</x:v>
      </x:c>
      <x:c r="Y36" s="2" t="str">
        <x:v>NR</x:v>
      </x:c>
      <x:c r="Z36" s="2" t="str">
        <x:v>NR</x:v>
      </x:c>
      <x:c r="AA36" s="2" t="str">
        <x:v>No</x:v>
      </x:c>
      <x:c r="AB36" s="2" t="str">
        <x:v>No</x:v>
      </x:c>
      <x:c r="AC36" s="6" t="str">
        <x:v>p. 11; Section 4.4</x:v>
      </x:c>
      <x:c r="AD36"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row>
    <x:row r="37" ht="76" customHeight="1">
      <x:c r="A37" s="2" t="str">
        <x:v>S53</x:v>
      </x:c>
      <x:c r="B37" s="2" t="str">
        <x:v>2025</x:v>
      </x:c>
      <x:c r="C37" s="2" t="str">
        <x:v>Published</x:v>
      </x:c>
      <x:c r="D37" s="6" t="str">
        <x:v>Evaluating LLMs for Automated Requirement and Test Case Generation in Railway Signaling Systems</x:v>
      </x:c>
      <x:c r="E37" s="2" t="str">
        <x:v>S53-MU02</x:v>
      </x:c>
      <x:c r="F37" s="2" t="str">
        <x:v>S53-O01</x:v>
      </x:c>
      <x:c r="G37" s="2" t="str">
        <x:v>S53-T01</x:v>
      </x:c>
      <x:c r="H37" s="2" t="str">
        <x:v>Claude</x:v>
      </x:c>
      <x:c r="I37" s="2" t="str">
        <x:v>Claude Sonnet 4</x:v>
      </x:c>
      <x:c r="J37" s="2" t="str">
        <x:v>Claude</x:v>
      </x:c>
      <x:c r="K37" s="2" t="str">
        <x:v>Claude 4 Sonnet</x:v>
      </x:c>
      <x:c r="L37" s="2" t="str">
        <x:v>Closed</x:v>
      </x:c>
      <x:c r="M37" s="2" t="str">
        <x:v>Closed</x:v>
      </x:c>
      <x:c r="N37" s="6" t="str">
        <x:v>Reported in extraction</x:v>
      </x:c>
      <x:c r="O37" s="2" t="str">
        <x:v>Yes</x:v>
      </x:c>
      <x:c r="P37" s="2" t="str"/>
      <x:c r="Q37" s="2" t="str">
        <x:v>API</x:v>
      </x:c>
      <x:c r="R37" s="2" t="str">
        <x:v>Cloud API</x:v>
      </x:c>
      <x:c r="S37" s="2" t="str">
        <x:v>Sonnet 4</x:v>
      </x:c>
      <x:c r="T37" s="2" t="str">
        <x:v>NR</x:v>
      </x:c>
      <x:c r="U37" s="2" t="str">
        <x:v>NR</x:v>
      </x:c>
      <x:c r="V37" s="2" t="str">
        <x:v>NR</x:v>
      </x:c>
      <x:c r="W37" s="2" t="str">
        <x:v>NR</x:v>
      </x:c>
      <x:c r="X37" s="2" t="str">
        <x:v>NR</x:v>
      </x:c>
      <x:c r="Y37" s="2" t="str">
        <x:v>NR</x:v>
      </x:c>
      <x:c r="Z37" s="2" t="str">
        <x:v>NR</x:v>
      </x:c>
      <x:c r="AA37" s="2" t="str">
        <x:v>No</x:v>
      </x:c>
      <x:c r="AB37" s="2" t="str">
        <x:v>No</x:v>
      </x:c>
      <x:c r="AC37" s="6" t="str">
        <x:v>p. 2; Section II-C</x:v>
      </x:c>
      <x:c r="AD37" s="6" t="str">
        <x:v>OpenAI's GPT4, Anthropic's Claude Sonnet 4 and Google's Gemini 2.5 Flash were considered</x:v>
      </x:c>
    </x:row>
    <x:row r="38" ht="76" customHeight="1">
      <x:c r="A38" s="2" t="str">
        <x:v>S53</x:v>
      </x:c>
      <x:c r="B38" s="2" t="str">
        <x:v>2025</x:v>
      </x:c>
      <x:c r="C38" s="2" t="str">
        <x:v>Published</x:v>
      </x:c>
      <x:c r="D38" s="6" t="str">
        <x:v>Evaluating LLMs for Automated Requirement and Test Case Generation in Railway Signaling Systems</x:v>
      </x:c>
      <x:c r="E38" s="2" t="str">
        <x:v>S53-MU05</x:v>
      </x:c>
      <x:c r="F38" s="2" t="str">
        <x:v>S53-O02</x:v>
      </x:c>
      <x:c r="G38" s="2" t="str">
        <x:v>S53-T02</x:v>
      </x:c>
      <x:c r="H38" s="2" t="str">
        <x:v>Claude</x:v>
      </x:c>
      <x:c r="I38" s="2" t="str">
        <x:v>Claude Sonnet 4</x:v>
      </x:c>
      <x:c r="J38" s="2" t="str">
        <x:v>Claude</x:v>
      </x:c>
      <x:c r="K38" s="2" t="str">
        <x:v>Claude 4 Sonnet</x:v>
      </x:c>
      <x:c r="L38" s="2" t="str">
        <x:v>Closed</x:v>
      </x:c>
      <x:c r="M38" s="2" t="str">
        <x:v>Closed</x:v>
      </x:c>
      <x:c r="N38" s="6" t="str">
        <x:v>Reported in extraction</x:v>
      </x:c>
      <x:c r="O38" s="2" t="str">
        <x:v>Yes</x:v>
      </x:c>
      <x:c r="P38" s="2" t="str"/>
      <x:c r="Q38" s="2" t="str">
        <x:v>API</x:v>
      </x:c>
      <x:c r="R38" s="2" t="str">
        <x:v>Cloud API</x:v>
      </x:c>
      <x:c r="S38" s="2" t="str">
        <x:v>Sonnet 4</x:v>
      </x:c>
      <x:c r="T38" s="2" t="str">
        <x:v>NR</x:v>
      </x:c>
      <x:c r="U38" s="2" t="str">
        <x:v>NR</x:v>
      </x:c>
      <x:c r="V38" s="2" t="str">
        <x:v>NR</x:v>
      </x:c>
      <x:c r="W38" s="2" t="str">
        <x:v>NR</x:v>
      </x:c>
      <x:c r="X38" s="2" t="str">
        <x:v>NR</x:v>
      </x:c>
      <x:c r="Y38" s="2" t="str">
        <x:v>NR</x:v>
      </x:c>
      <x:c r="Z38" s="2" t="str">
        <x:v>NR</x:v>
      </x:c>
      <x:c r="AA38" s="2" t="str">
        <x:v>No</x:v>
      </x:c>
      <x:c r="AB38" s="2" t="str">
        <x:v>No</x:v>
      </x:c>
      <x:c r="AC38" s="6" t="str">
        <x:v>p. 2; Section II-C</x:v>
      </x:c>
      <x:c r="AD38" s="6" t="str">
        <x:v>OpenAI's GPT4, Anthropic's Claude Sonnet 4 and Google's Gemini 2.5 Flash were considered</x:v>
      </x:c>
    </x:row>
    <x:row r="39" ht="76" customHeight="1">
      <x:c r="A39" s="2" t="str">
        <x:v>S53</x:v>
      </x:c>
      <x:c r="B39" s="2" t="str">
        <x:v>2025</x:v>
      </x:c>
      <x:c r="C39" s="2" t="str">
        <x:v>Published</x:v>
      </x:c>
      <x:c r="D39" s="6" t="str">
        <x:v>Evaluating LLMs for Automated Requirement and Test Case Generation in Railway Signaling Systems</x:v>
      </x:c>
      <x:c r="E39" s="2" t="str">
        <x:v>S53-MU08</x:v>
      </x:c>
      <x:c r="F39" s="2" t="str">
        <x:v>S53-O03</x:v>
      </x:c>
      <x:c r="G39" s="2" t="str">
        <x:v>S53-T03</x:v>
      </x:c>
      <x:c r="H39" s="2" t="str">
        <x:v>Claude</x:v>
      </x:c>
      <x:c r="I39" s="2" t="str">
        <x:v>Claude Sonnet 4</x:v>
      </x:c>
      <x:c r="J39" s="2" t="str">
        <x:v>Claude</x:v>
      </x:c>
      <x:c r="K39" s="2" t="str">
        <x:v>Claude 4 Sonnet</x:v>
      </x:c>
      <x:c r="L39" s="2" t="str">
        <x:v>Closed</x:v>
      </x:c>
      <x:c r="M39" s="2" t="str">
        <x:v>Closed</x:v>
      </x:c>
      <x:c r="N39" s="6" t="str">
        <x:v>Reported in extraction</x:v>
      </x:c>
      <x:c r="O39" s="2" t="str">
        <x:v>Yes</x:v>
      </x:c>
      <x:c r="P39" s="2" t="str"/>
      <x:c r="Q39" s="2" t="str">
        <x:v>API</x:v>
      </x:c>
      <x:c r="R39" s="2" t="str">
        <x:v>Cloud API</x:v>
      </x:c>
      <x:c r="S39" s="2" t="str">
        <x:v>Sonnet 4</x:v>
      </x:c>
      <x:c r="T39" s="2" t="str">
        <x:v>NR</x:v>
      </x:c>
      <x:c r="U39" s="2" t="str">
        <x:v>NR</x:v>
      </x:c>
      <x:c r="V39" s="2" t="str">
        <x:v>NR</x:v>
      </x:c>
      <x:c r="W39" s="2" t="str">
        <x:v>NR</x:v>
      </x:c>
      <x:c r="X39" s="2" t="str">
        <x:v>NR</x:v>
      </x:c>
      <x:c r="Y39" s="2" t="str">
        <x:v>NR</x:v>
      </x:c>
      <x:c r="Z39" s="2" t="str">
        <x:v>NR</x:v>
      </x:c>
      <x:c r="AA39" s="2" t="str">
        <x:v>No</x:v>
      </x:c>
      <x:c r="AB39" s="2" t="str">
        <x:v>No</x:v>
      </x:c>
      <x:c r="AC39" s="6" t="str">
        <x:v>p. 2; Section II-C</x:v>
      </x:c>
      <x:c r="AD39" s="6" t="str">
        <x:v>OpenAI's GPT4, Anthropic's Claude Sonnet 4 and Google's Gemini 2.5 Flash were considered</x:v>
      </x:c>
    </x:row>
    <x:row r="40" ht="76" customHeight="1">
      <x:c r="A40" s="2" t="str">
        <x:v>S53</x:v>
      </x:c>
      <x:c r="B40" s="2" t="str">
        <x:v>2025</x:v>
      </x:c>
      <x:c r="C40" s="2" t="str">
        <x:v>Published</x:v>
      </x:c>
      <x:c r="D40" s="6" t="str">
        <x:v>Evaluating LLMs for Automated Requirement and Test Case Generation in Railway Signaling Systems</x:v>
      </x:c>
      <x:c r="E40" s="2" t="str">
        <x:v>S53-MU11</x:v>
      </x:c>
      <x:c r="F40" s="2" t="str">
        <x:v>S53-O04</x:v>
      </x:c>
      <x:c r="G40" s="2" t="str">
        <x:v>S53-T04</x:v>
      </x:c>
      <x:c r="H40" s="2" t="str">
        <x:v>Claude</x:v>
      </x:c>
      <x:c r="I40" s="2" t="str">
        <x:v>Claude Sonnet 4</x:v>
      </x:c>
      <x:c r="J40" s="2" t="str">
        <x:v>Claude</x:v>
      </x:c>
      <x:c r="K40" s="2" t="str">
        <x:v>Claude 4 Sonnet</x:v>
      </x:c>
      <x:c r="L40" s="2" t="str">
        <x:v>Closed</x:v>
      </x:c>
      <x:c r="M40" s="2" t="str">
        <x:v>Closed</x:v>
      </x:c>
      <x:c r="N40" s="6" t="str">
        <x:v>Reported in extraction</x:v>
      </x:c>
      <x:c r="O40" s="2" t="str">
        <x:v>Yes</x:v>
      </x:c>
      <x:c r="P40" s="2" t="str"/>
      <x:c r="Q40" s="2" t="str">
        <x:v>API</x:v>
      </x:c>
      <x:c r="R40" s="2" t="str">
        <x:v>Cloud API</x:v>
      </x:c>
      <x:c r="S40" s="2" t="str">
        <x:v>Sonnet 4</x:v>
      </x:c>
      <x:c r="T40" s="2" t="str">
        <x:v>NR</x:v>
      </x:c>
      <x:c r="U40" s="2" t="str">
        <x:v>NR</x:v>
      </x:c>
      <x:c r="V40" s="2" t="str">
        <x:v>NR</x:v>
      </x:c>
      <x:c r="W40" s="2" t="str">
        <x:v>NR</x:v>
      </x:c>
      <x:c r="X40" s="2" t="str">
        <x:v>NR</x:v>
      </x:c>
      <x:c r="Y40" s="2" t="str">
        <x:v>NR</x:v>
      </x:c>
      <x:c r="Z40" s="2" t="str">
        <x:v>NR</x:v>
      </x:c>
      <x:c r="AA40" s="2" t="str">
        <x:v>No</x:v>
      </x:c>
      <x:c r="AB40" s="2" t="str">
        <x:v>No</x:v>
      </x:c>
      <x:c r="AC40" s="6" t="str">
        <x:v>p. 2; Section II-C</x:v>
      </x:c>
      <x:c r="AD40" s="6" t="str">
        <x:v>OpenAI's GPT4, Anthropic's Claude Sonnet 4 and Google's Gemini 2.5 Flash were considered</x:v>
      </x:c>
    </x:row>
    <x:row r="41" ht="76" customHeight="1">
      <x:c r="A41" s="2" t="str">
        <x:v>S21</x:v>
      </x:c>
      <x:c r="B41" s="2" t="str">
        <x:v>2023</x:v>
      </x:c>
      <x:c r="C41" s="2" t="str">
        <x:v>Published</x:v>
      </x:c>
      <x:c r="D41" s="6" t="str">
        <x:v>Prompts Matter: Insights and Strategies for Prompt Engineering in Automated Software Traceability</x:v>
      </x:c>
      <x:c r="E41" s="2" t="str">
        <x:v>S21-MU01</x:v>
      </x:c>
      <x:c r="F41" s="2" t="str">
        <x:v>S21-O01</x:v>
      </x:c>
      <x:c r="G41" s="2" t="str">
        <x:v>S21-T01</x:v>
      </x:c>
      <x:c r="H41" s="2" t="str">
        <x:v>Claude instant model (claude-instant-v1)</x:v>
      </x:c>
      <x:c r="I41" s="2" t="str">
        <x:v>claude-instant-v1</x:v>
      </x:c>
      <x:c r="J41" s="2" t="str">
        <x:v>Claude</x:v>
      </x:c>
      <x:c r="K41" s="2" t="str">
        <x:v>Claude Instant 1</x:v>
      </x:c>
      <x:c r="L41" s="2" t="str">
        <x:v>Closed</x:v>
      </x:c>
      <x:c r="M41" s="2" t="str">
        <x:v>Closed</x:v>
      </x:c>
      <x:c r="N41" s="6" t="str">
        <x:v>Reported in extraction</x:v>
      </x:c>
      <x:c r="O41" s="2" t="str">
        <x:v>Yes</x:v>
      </x:c>
      <x:c r="P41" s="2" t="str"/>
      <x:c r="Q41" s="2" t="str">
        <x:v>API</x:v>
      </x:c>
      <x:c r="R41" s="2" t="str">
        <x:v>NR</x:v>
      </x:c>
      <x:c r="S41" s="2" t="str">
        <x:v>claude-instant-v1</x:v>
      </x:c>
      <x:c r="T41" s="2" t="str">
        <x:v>NR</x:v>
      </x:c>
      <x:c r="U41" s="2" t="str">
        <x:v>NR</x:v>
      </x:c>
      <x:c r="V41" s="2" t="str">
        <x:v>NR</x:v>
      </x:c>
      <x:c r="W41" s="2" t="str">
        <x:v>NR</x:v>
      </x:c>
      <x:c r="X41" s="2" t="str">
        <x:v>NR</x:v>
      </x:c>
      <x:c r="Y41" s="2" t="str">
        <x:v>NR</x:v>
      </x:c>
      <x:c r="Z41" s="2" t="str">
        <x:v>NR</x:v>
      </x:c>
      <x:c r="AA41" s="2" t="str">
        <x:v>No</x:v>
      </x:c>
      <x:c r="AB41" s="2" t="str">
        <x:v>No</x:v>
      </x:c>
      <x:c r="AC41" s="6" t="str">
        <x:v>p. 2; Section II</x:v>
      </x:c>
      <x:c r="AD41" s="6" t="str">
        <x:v>we selected Claude for the remainder of our experiments.</x:v>
      </x:c>
    </x:row>
    <x:row r="42" ht="76" customHeight="1">
      <x:c r="A42" s="2" t="str">
        <x:v>S21</x:v>
      </x:c>
      <x:c r="B42" s="2" t="str">
        <x:v>2023</x:v>
      </x:c>
      <x:c r="C42" s="2" t="str">
        <x:v>Published</x:v>
      </x:c>
      <x:c r="D42" s="6" t="str">
        <x:v>Prompts Matter: Insights and Strategies for Prompt Engineering in Automated Software Traceability</x:v>
      </x:c>
      <x:c r="E42" s="2" t="str">
        <x:v>S21-MU02</x:v>
      </x:c>
      <x:c r="F42" s="2" t="str">
        <x:v>S21-O02</x:v>
      </x:c>
      <x:c r="G42" s="2" t="str">
        <x:v>S21-T02</x:v>
      </x:c>
      <x:c r="H42" s="2" t="str">
        <x:v>Claude instant model (claude-instant-v1)</x:v>
      </x:c>
      <x:c r="I42" s="2" t="str">
        <x:v>claude-instant-v1</x:v>
      </x:c>
      <x:c r="J42" s="2" t="str">
        <x:v>Claude</x:v>
      </x:c>
      <x:c r="K42" s="2" t="str">
        <x:v>Claude Instant 1</x:v>
      </x:c>
      <x:c r="L42" s="2" t="str">
        <x:v>Closed</x:v>
      </x:c>
      <x:c r="M42" s="2" t="str">
        <x:v>Closed</x:v>
      </x:c>
      <x:c r="N42" s="6" t="str">
        <x:v>Reported in extraction</x:v>
      </x:c>
      <x:c r="O42" s="2" t="str">
        <x:v>Yes</x:v>
      </x:c>
      <x:c r="P42" s="2" t="str"/>
      <x:c r="Q42" s="2" t="str">
        <x:v>API</x:v>
      </x:c>
      <x:c r="R42" s="2" t="str">
        <x:v>NR</x:v>
      </x:c>
      <x:c r="S42" s="2" t="str">
        <x:v>claude-instant-v1</x:v>
      </x:c>
      <x:c r="T42" s="2" t="str">
        <x:v>NR</x:v>
      </x:c>
      <x:c r="U42" s="2" t="str">
        <x:v>NR</x:v>
      </x:c>
      <x:c r="V42" s="2" t="str">
        <x:v>NR</x:v>
      </x:c>
      <x:c r="W42" s="2" t="str">
        <x:v>NR</x:v>
      </x:c>
      <x:c r="X42" s="2" t="str">
        <x:v>NR</x:v>
      </x:c>
      <x:c r="Y42" s="2" t="str">
        <x:v>100k</x:v>
      </x:c>
      <x:c r="Z42" s="2" t="str">
        <x:v>NR</x:v>
      </x:c>
      <x:c r="AA42" s="2" t="str">
        <x:v>No</x:v>
      </x:c>
      <x:c r="AB42" s="2" t="str">
        <x:v>No</x:v>
      </x:c>
      <x:c r="AC42" s="6" t="str">
        <x:v>p. 6; Section IV-D</x:v>
      </x:c>
      <x:c r="AD42" s="6" t="str">
        <x:v>Claude's new 100k context window</x:v>
      </x:c>
    </x:row>
    <x:row r="43" ht="76" customHeight="1">
      <x:c r="A43" s="2" t="str">
        <x:v>S21</x:v>
      </x:c>
      <x:c r="B43" s="2" t="str">
        <x:v>2023</x:v>
      </x:c>
      <x:c r="C43" s="2" t="str">
        <x:v>Published</x:v>
      </x:c>
      <x:c r="D43" s="6" t="str">
        <x:v>Prompts Matter: Insights and Strategies for Prompt Engineering in Automated Software Traceability</x:v>
      </x:c>
      <x:c r="E43" s="2" t="str">
        <x:v>S21-MU03</x:v>
      </x:c>
      <x:c r="F43" s="2" t="str">
        <x:v>S21-O03</x:v>
      </x:c>
      <x:c r="G43" s="2" t="str">
        <x:v>S21-T01</x:v>
      </x:c>
      <x:c r="H43" s="2" t="str">
        <x:v>Claude instant model (claude-instant-v1)</x:v>
      </x:c>
      <x:c r="I43" s="2" t="str">
        <x:v>claude-instant-v1</x:v>
      </x:c>
      <x:c r="J43" s="2" t="str">
        <x:v>Claude</x:v>
      </x:c>
      <x:c r="K43" s="2" t="str">
        <x:v>Claude Instant 1</x:v>
      </x:c>
      <x:c r="L43" s="2" t="str">
        <x:v>Closed</x:v>
      </x:c>
      <x:c r="M43" s="2" t="str">
        <x:v>Closed</x:v>
      </x:c>
      <x:c r="N43" s="6" t="str">
        <x:v>Reported in extraction</x:v>
      </x:c>
      <x:c r="O43" s="2" t="str">
        <x:v>Yes</x:v>
      </x:c>
      <x:c r="P43" s="2" t="str"/>
      <x:c r="Q43" s="2" t="str">
        <x:v>API</x:v>
      </x:c>
      <x:c r="R43" s="2" t="str">
        <x:v>NR</x:v>
      </x:c>
      <x:c r="S43" s="2" t="str">
        <x:v>claude-instant-v1</x:v>
      </x:c>
      <x:c r="T43" s="2" t="str">
        <x:v>NR</x:v>
      </x:c>
      <x:c r="U43" s="2" t="str">
        <x:v>NR</x:v>
      </x:c>
      <x:c r="V43" s="2" t="str">
        <x:v>NR</x:v>
      </x:c>
      <x:c r="W43" s="2" t="str">
        <x:v>NR</x:v>
      </x:c>
      <x:c r="X43" s="2" t="str">
        <x:v>NR</x:v>
      </x:c>
      <x:c r="Y43" s="2" t="str">
        <x:v>NR</x:v>
      </x:c>
      <x:c r="Z43" s="2" t="str">
        <x:v>NR</x:v>
      </x:c>
      <x:c r="AA43" s="2" t="str">
        <x:v>No</x:v>
      </x:c>
      <x:c r="AB43" s="2" t="str">
        <x:v>No</x:v>
      </x:c>
      <x:c r="AC43" s="6" t="str">
        <x:v>p. 2; Section II</x:v>
      </x:c>
      <x:c r="AD43" s="6" t="str">
        <x:v>we selected Claude for the remainder of our experiments.</x:v>
      </x:c>
    </x:row>
    <x:row r="44" ht="76" customHeight="1">
      <x:c r="A44" s="2" t="str">
        <x:v>S21</x:v>
      </x:c>
      <x:c r="B44" s="2" t="str">
        <x:v>2023</x:v>
      </x:c>
      <x:c r="C44" s="2" t="str">
        <x:v>Published</x:v>
      </x:c>
      <x:c r="D44" s="6" t="str">
        <x:v>Prompts Matter: Insights and Strategies for Prompt Engineering in Automated Software Traceability</x:v>
      </x:c>
      <x:c r="E44" s="2" t="str">
        <x:v>S21-MU04</x:v>
      </x:c>
      <x:c r="F44" s="2" t="str">
        <x:v>S21-O04</x:v>
      </x:c>
      <x:c r="G44" s="2" t="str">
        <x:v>S21-T02</x:v>
      </x:c>
      <x:c r="H44" s="2" t="str">
        <x:v>Claude instant model (claude-instant-v1)</x:v>
      </x:c>
      <x:c r="I44" s="2" t="str">
        <x:v>claude-instant-v1</x:v>
      </x:c>
      <x:c r="J44" s="2" t="str">
        <x:v>Claude</x:v>
      </x:c>
      <x:c r="K44" s="2" t="str">
        <x:v>Claude Instant 1</x:v>
      </x:c>
      <x:c r="L44" s="2" t="str">
        <x:v>Closed</x:v>
      </x:c>
      <x:c r="M44" s="2" t="str">
        <x:v>Closed</x:v>
      </x:c>
      <x:c r="N44" s="6" t="str">
        <x:v>Reported in extraction</x:v>
      </x:c>
      <x:c r="O44" s="2" t="str">
        <x:v>Yes</x:v>
      </x:c>
      <x:c r="P44" s="2" t="str"/>
      <x:c r="Q44" s="2" t="str">
        <x:v>API</x:v>
      </x:c>
      <x:c r="R44" s="2" t="str">
        <x:v>NR</x:v>
      </x:c>
      <x:c r="S44" s="2" t="str">
        <x:v>claude-instant-v1</x:v>
      </x:c>
      <x:c r="T44" s="2" t="str">
        <x:v>NR</x:v>
      </x:c>
      <x:c r="U44" s="2" t="str">
        <x:v>NR</x:v>
      </x:c>
      <x:c r="V44" s="2" t="str">
        <x:v>NR</x:v>
      </x:c>
      <x:c r="W44" s="2" t="str">
        <x:v>NR</x:v>
      </x:c>
      <x:c r="X44" s="2" t="str">
        <x:v>NR</x:v>
      </x:c>
      <x:c r="Y44" s="2" t="str">
        <x:v>NR</x:v>
      </x:c>
      <x:c r="Z44" s="2" t="str">
        <x:v>NR</x:v>
      </x:c>
      <x:c r="AA44" s="2" t="str">
        <x:v>No</x:v>
      </x:c>
      <x:c r="AB44" s="2" t="str">
        <x:v>No</x:v>
      </x:c>
      <x:c r="AC44" s="6" t="str">
        <x:v>p. 2; Section II</x:v>
      </x:c>
      <x:c r="AD44" s="6" t="str">
        <x:v>we selected Claude for the remainder of our experiments.</x:v>
      </x:c>
    </x:row>
    <x:row r="45" ht="76" customHeight="1">
      <x:c r="A45" s="2" t="str">
        <x:v>S25</x:v>
      </x:c>
      <x:c r="B45" s="2" t="str">
        <x:v>2025</x:v>
      </x:c>
      <x:c r="C45" s="2" t="str">
        <x:v>Published</x:v>
      </x:c>
      <x:c r="D45" s="6" t="str">
        <x:v>Agentic RAG for Software Testing with Hybrid Vector-Graph and Multi-Agent Orchestration</x:v>
      </x:c>
      <x:c r="E45" s="2" t="str">
        <x:v>S25-MU02</x:v>
      </x:c>
      <x:c r="F45" s="2" t="str">
        <x:v>S25-O02</x:v>
      </x:c>
      <x:c r="G45" s="2" t="str">
        <x:v>S25-T01</x:v>
      </x:c>
      <x:c r="H45" s="2" t="str">
        <x:v>Gemini Pro</x:v>
      </x:c>
      <x:c r="I45" s="2" t="str">
        <x:v>Google Gemini 1.0 Pro</x:v>
      </x:c>
      <x:c r="J45" s="2" t="str">
        <x:v>Gemini</x:v>
      </x:c>
      <x:c r="K45" s="2" t="str">
        <x:v>Gemini 1.0 Pro</x:v>
      </x:c>
      <x:c r="L45" s="2" t="str">
        <x:v>Closed</x:v>
      </x:c>
      <x:c r="M45" s="2" t="str">
        <x:v>Closed</x:v>
      </x:c>
      <x:c r="N45" s="6" t="str">
        <x:v>Reported in extraction</x:v>
      </x:c>
      <x:c r="O45" s="2" t="str">
        <x:v>Yes</x:v>
      </x:c>
      <x:c r="P45" s="2" t="str"/>
      <x:c r="Q45" s="2" t="str">
        <x:v>Unclear</x:v>
      </x:c>
      <x:c r="R45" s="2" t="str">
        <x:v>NR</x:v>
      </x:c>
      <x:c r="S45" s="2" t="str">
        <x:v>1.0 Pro</x:v>
      </x:c>
      <x:c r="T45" s="2" t="str">
        <x:v>NR</x:v>
      </x:c>
      <x:c r="U45" s="2" t="str">
        <x:v>NR</x:v>
      </x:c>
      <x:c r="V45" s="2" t="str">
        <x:v>NR</x:v>
      </x:c>
      <x:c r="W45" s="2" t="str">
        <x:v>NR</x:v>
      </x:c>
      <x:c r="X45" s="2" t="str">
        <x:v>NR</x:v>
      </x:c>
      <x:c r="Y45" s="2" t="str">
        <x:v>NR</x:v>
      </x:c>
      <x:c r="Z45" s="2" t="str">
        <x:v>NR</x:v>
      </x:c>
      <x:c r="AA45" s="2" t="str">
        <x:v>No</x:v>
      </x:c>
      <x:c r="AB45" s="2" t="str">
        <x:v>No</x:v>
      </x:c>
      <x:c r="AC45" s="6" t="str">
        <x:v>p. 4, Section III-C; Google Gemini API model history</x:v>
      </x:c>
      <x:c r="AD45" s="6" t="str">
        <x:v>complex business logic analysis leverages Gemini Pro</x:v>
      </x:c>
    </x:row>
    <x:row r="46" ht="76" customHeight="1">
      <x:c r="A46" s="2" t="str">
        <x:v>S12</x:v>
      </x:c>
      <x:c r="B46" s="2" t="str">
        <x:v>2026</x:v>
      </x:c>
      <x:c r="C46" s="2" t="str">
        <x:v>Published</x:v>
      </x:c>
      <x:c r="D46" s="6" t="str">
        <x:v>TraceLLM: Leveraging Large Language Models with Prompt Engineering for Enhanced Requirements Traceability</x:v>
      </x:c>
      <x:c r="E46" s="2" t="str">
        <x:v>S12-MU05</x:v>
      </x:c>
      <x:c r="F46" s="2" t="str">
        <x:v>S12-O01</x:v>
      </x:c>
      <x:c r="G46" s="2" t="str">
        <x:v>S12-T01</x:v>
      </x:c>
      <x:c r="H46" s="2" t="str">
        <x:v>gemini-1.5-flash</x:v>
      </x:c>
      <x:c r="I46" s="2" t="str">
        <x:v>Gemini 1.5 Flash</x:v>
      </x:c>
      <x:c r="J46" s="2" t="str">
        <x:v>Gemini</x:v>
      </x:c>
      <x:c r="K46" s="2" t="str">
        <x:v>Gemini 1.5 Flash</x:v>
      </x:c>
      <x:c r="L46" s="2" t="str">
        <x:v>Closed</x:v>
      </x:c>
      <x:c r="M46" s="2" t="str">
        <x:v>Closed</x:v>
      </x:c>
      <x:c r="N46" s="6" t="str">
        <x:v>Reported in extraction</x:v>
      </x:c>
      <x:c r="O46" s="2" t="str">
        <x:v>Yes</x:v>
      </x:c>
      <x:c r="P46" s="2" t="str"/>
      <x:c r="Q46" s="2" t="str">
        <x:v>API</x:v>
      </x:c>
      <x:c r="R46" s="2" t="str">
        <x:v>OpenRouter</x:v>
      </x:c>
      <x:c r="S46" s="2" t="str">
        <x:v>gemini-1.5-flash</x:v>
      </x:c>
      <x:c r="T46" s="2" t="str">
        <x:v>NR</x:v>
      </x:c>
      <x:c r="U46" s="2" t="str">
        <x:v>NR</x:v>
      </x:c>
      <x:c r="V46" s="2" t="n">
        <x:v>0</x:v>
      </x:c>
      <x:c r="W46" s="2" t="str">
        <x:v>NR</x:v>
      </x:c>
      <x:c r="X46" s="2" t="str">
        <x:v>NR</x:v>
      </x:c>
      <x:c r="Y46" s="2" t="str">
        <x:v>NR</x:v>
      </x:c>
      <x:c r="Z46" s="2" t="str">
        <x:v>NR</x:v>
      </x:c>
      <x:c r="AA46" s="2" t="str">
        <x:v>Yes</x:v>
      </x:c>
      <x:c r="AB46" s="2" t="str">
        <x:v>No</x:v>
      </x:c>
      <x:c r="AC46" s="6" t="str">
        <x:v>p. 19; Section 5.4</x:v>
      </x:c>
      <x:c r="AD46"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row>
    <x:row r="47" ht="76" customHeight="1">
      <x:c r="A47" s="2" t="str">
        <x:v>S12</x:v>
      </x:c>
      <x:c r="B47" s="2" t="str">
        <x:v>2026</x:v>
      </x:c>
      <x:c r="C47" s="2" t="str">
        <x:v>Published</x:v>
      </x:c>
      <x:c r="D47" s="6" t="str">
        <x:v>TraceLLM: Leveraging Large Language Models with Prompt Engineering for Enhanced Requirements Traceability</x:v>
      </x:c>
      <x:c r="E47" s="2" t="str">
        <x:v>S12-MU06</x:v>
      </x:c>
      <x:c r="F47" s="2" t="str">
        <x:v>S12-O01</x:v>
      </x:c>
      <x:c r="G47" s="2" t="str">
        <x:v>S12-T01</x:v>
      </x:c>
      <x:c r="H47" s="2" t="str">
        <x:v>gemini-1.5-pro</x:v>
      </x:c>
      <x:c r="I47" s="2" t="str">
        <x:v>Gemini 1.5 Pro</x:v>
      </x:c>
      <x:c r="J47" s="2" t="str">
        <x:v>Gemini</x:v>
      </x:c>
      <x:c r="K47" s="2" t="str">
        <x:v>Gemini 1.5 Pro</x:v>
      </x:c>
      <x:c r="L47" s="2" t="str">
        <x:v>Closed</x:v>
      </x:c>
      <x:c r="M47" s="2" t="str">
        <x:v>Closed</x:v>
      </x:c>
      <x:c r="N47" s="6" t="str">
        <x:v>Reported in extraction</x:v>
      </x:c>
      <x:c r="O47" s="2" t="str">
        <x:v>Yes</x:v>
      </x:c>
      <x:c r="P47" s="2" t="str"/>
      <x:c r="Q47" s="2" t="str">
        <x:v>API</x:v>
      </x:c>
      <x:c r="R47" s="2" t="str">
        <x:v>OpenRouter</x:v>
      </x:c>
      <x:c r="S47" s="2" t="str">
        <x:v>gemini-1.5-pro</x:v>
      </x:c>
      <x:c r="T47" s="2" t="str">
        <x:v>NR</x:v>
      </x:c>
      <x:c r="U47" s="2" t="str">
        <x:v>NR</x:v>
      </x:c>
      <x:c r="V47" s="2" t="n">
        <x:v>0</x:v>
      </x:c>
      <x:c r="W47" s="2" t="str">
        <x:v>NR</x:v>
      </x:c>
      <x:c r="X47" s="2" t="str">
        <x:v>NR</x:v>
      </x:c>
      <x:c r="Y47" s="2" t="str">
        <x:v>NR</x:v>
      </x:c>
      <x:c r="Z47" s="2" t="str">
        <x:v>NR</x:v>
      </x:c>
      <x:c r="AA47" s="2" t="str">
        <x:v>Yes</x:v>
      </x:c>
      <x:c r="AB47" s="2" t="str">
        <x:v>No</x:v>
      </x:c>
      <x:c r="AC47" s="6" t="str">
        <x:v>p. 19; Section 5.4</x:v>
      </x:c>
      <x:c r="AD47"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row>
    <x:row r="48" ht="76" customHeight="1">
      <x:c r="A48" s="2" t="str">
        <x:v>S13</x:v>
      </x:c>
      <x:c r="B48" s="2" t="str">
        <x:v>2025</x:v>
      </x:c>
      <x:c r="C48" s="2" t="str">
        <x:v>Published</x:v>
      </x:c>
      <x:c r="D48" s="6" t="str">
        <x:v>Synergistic Enhancement of Requirement-to-Code Traceability: A Framework Combining Large Language Model based Data Augmentation and an Advanced Encoder</x:v>
      </x:c>
      <x:c r="E48" s="2" t="str">
        <x:v>S13-MU01</x:v>
      </x:c>
      <x:c r="F48" s="2" t="str">
        <x:v>S13-O01</x:v>
      </x:c>
      <x:c r="G48" s="2" t="str">
        <x:v>S13-T01</x:v>
      </x:c>
      <x:c r="H48" s="2" t="str">
        <x:v>Gemini 1.5 Pro</x:v>
      </x:c>
      <x:c r="I48" s="2" t="str">
        <x:v>Gemini 1.5 Pro</x:v>
      </x:c>
      <x:c r="J48" s="2" t="str">
        <x:v>Gemini</x:v>
      </x:c>
      <x:c r="K48" s="2" t="str">
        <x:v>Gemini 1.5 Pro</x:v>
      </x:c>
      <x:c r="L48" s="2" t="str">
        <x:v>Closed</x:v>
      </x:c>
      <x:c r="M48" s="2" t="str">
        <x:v>Closed</x:v>
      </x:c>
      <x:c r="N48" s="6" t="str">
        <x:v>Reported in extraction</x:v>
      </x:c>
      <x:c r="O48" s="2" t="str">
        <x:v>Yes</x:v>
      </x:c>
      <x:c r="P48" s="2" t="str"/>
      <x:c r="Q48" s="2" t="str">
        <x:v>API</x:v>
      </x:c>
      <x:c r="R48" s="2" t="str">
        <x:v>NR</x:v>
      </x:c>
      <x:c r="S48" s="2" t="str">
        <x:v>1.5 Pro</x:v>
      </x:c>
      <x:c r="T48" s="2" t="str">
        <x:v>NR</x:v>
      </x:c>
      <x:c r="U48" s="2" t="str">
        <x:v>NR</x:v>
      </x:c>
      <x:c r="V48" s="2" t="str">
        <x:v>NR</x:v>
      </x:c>
      <x:c r="W48" s="2" t="str">
        <x:v>NR</x:v>
      </x:c>
      <x:c r="X48" s="2" t="str">
        <x:v>NR</x:v>
      </x:c>
      <x:c r="Y48" s="2" t="str">
        <x:v>NR</x:v>
      </x:c>
      <x:c r="Z48" s="2" t="str">
        <x:v>NR</x:v>
      </x:c>
      <x:c r="AA48" s="2" t="str">
        <x:v>No</x:v>
      </x:c>
      <x:c r="AB48" s="2" t="str">
        <x:v>No</x:v>
      </x:c>
      <x:c r="AC48" s="6" t="str">
        <x:v>p. 18; Section 4.2</x:v>
      </x:c>
      <x:c r="AD48" s="6" t="str">
        <x:v>For the data augmentation task, we utilized a panel of four leading, closed-source LLMs</x:v>
      </x:c>
    </x:row>
    <x:row r="49" ht="76" customHeight="1">
      <x:c r="A49" s="2" t="str">
        <x:v>S13</x:v>
      </x:c>
      <x:c r="B49" s="2" t="str">
        <x:v>2025</x:v>
      </x:c>
      <x:c r="C49" s="2" t="str">
        <x:v>Published</x:v>
      </x:c>
      <x:c r="D49" s="6" t="str">
        <x:v>Synergistic Enhancement of Requirement-to-Code Traceability: A Framework Combining Large Language Model based Data Augmentation and an Advanced Encoder</x:v>
      </x:c>
      <x:c r="E49" s="2" t="str">
        <x:v>S13-MU05</x:v>
      </x:c>
      <x:c r="F49" s="2" t="str">
        <x:v>S13-O02</x:v>
      </x:c>
      <x:c r="G49" s="2" t="str">
        <x:v>S13-T01</x:v>
      </x:c>
      <x:c r="H49" s="2" t="str">
        <x:v>Gemini 1.5 Pro</x:v>
      </x:c>
      <x:c r="I49" s="2" t="str">
        <x:v>Gemini 1.5 Pro</x:v>
      </x:c>
      <x:c r="J49" s="2" t="str">
        <x:v>Gemini</x:v>
      </x:c>
      <x:c r="K49" s="2" t="str">
        <x:v>Gemini 1.5 Pro</x:v>
      </x:c>
      <x:c r="L49" s="2" t="str">
        <x:v>Closed</x:v>
      </x:c>
      <x:c r="M49" s="2" t="str">
        <x:v>Closed</x:v>
      </x:c>
      <x:c r="N49" s="6" t="str">
        <x:v>Reported in extraction</x:v>
      </x:c>
      <x:c r="O49" s="2" t="str">
        <x:v>Yes</x:v>
      </x:c>
      <x:c r="P49" s="2" t="str"/>
      <x:c r="Q49" s="2" t="str">
        <x:v>API</x:v>
      </x:c>
      <x:c r="R49" s="2" t="str">
        <x:v>NR</x:v>
      </x:c>
      <x:c r="S49" s="2" t="str">
        <x:v>1.5 Pro</x:v>
      </x:c>
      <x:c r="T49" s="2" t="str">
        <x:v>NR</x:v>
      </x:c>
      <x:c r="U49" s="2" t="str">
        <x:v>NR</x:v>
      </x:c>
      <x:c r="V49" s="2" t="str">
        <x:v>NR</x:v>
      </x:c>
      <x:c r="W49" s="2" t="str">
        <x:v>NR</x:v>
      </x:c>
      <x:c r="X49" s="2" t="str">
        <x:v>NR</x:v>
      </x:c>
      <x:c r="Y49" s="2" t="str">
        <x:v>NR</x:v>
      </x:c>
      <x:c r="Z49" s="2" t="str">
        <x:v>NR</x:v>
      </x:c>
      <x:c r="AA49" s="2" t="str">
        <x:v>No</x:v>
      </x:c>
      <x:c r="AB49" s="2" t="str">
        <x:v>No</x:v>
      </x:c>
      <x:c r="AC49" s="6" t="str">
        <x:v>p. 18; Section 4.2</x:v>
      </x:c>
      <x:c r="AD49" s="6" t="str">
        <x:v>For the data augmentation task, we utilized a panel of four leading, closed-source LLMs</x:v>
      </x:c>
    </x:row>
    <x:row r="50" ht="76" customHeight="1">
      <x:c r="A50" s="2" t="str">
        <x:v>S51</x:v>
      </x:c>
      <x:c r="B50" s="2" t="str">
        <x:v>2024</x:v>
      </x:c>
      <x:c r="C50" s="2" t="str">
        <x:v>Published</x:v>
      </x:c>
      <x:c r="D50" s="6" t="str">
        <x:v>Exploring LLMs for Verifying Technical System Specifications Against Requirements</x:v>
      </x:c>
      <x:c r="E50" s="2" t="str">
        <x:v>S51-MU03</x:v>
      </x:c>
      <x:c r="F50" s="2" t="str">
        <x:v>S51-O01</x:v>
      </x:c>
      <x:c r="G50" s="2" t="str">
        <x:v>S51-T01</x:v>
      </x:c>
      <x:c r="H50" s="2" t="str">
        <x:v>Gemini-1.5</x:v>
      </x:c>
      <x:c r="I50" s="2" t="str">
        <x:v>Gemini 1.5 Pro</x:v>
      </x:c>
      <x:c r="J50" s="2" t="str">
        <x:v>Gemini</x:v>
      </x:c>
      <x:c r="K50" s="2" t="str">
        <x:v>Gemini 1.5 Pro</x:v>
      </x:c>
      <x:c r="L50" s="2" t="str">
        <x:v>Closed</x:v>
      </x:c>
      <x:c r="M50" s="2" t="str">
        <x:v>Closed</x:v>
      </x:c>
      <x:c r="N50" s="6" t="str">
        <x:v>Reported in extraction</x:v>
      </x:c>
      <x:c r="O50" s="2" t="str">
        <x:v>Yes</x:v>
      </x:c>
      <x:c r="P50" s="2" t="str"/>
      <x:c r="Q50" s="2" t="str">
        <x:v>API</x:v>
      </x:c>
      <x:c r="R50" s="2" t="str">
        <x:v>NR</x:v>
      </x:c>
      <x:c r="S50" s="2" t="str">
        <x:v>gemini-1.5-pro</x:v>
      </x:c>
      <x:c r="T50" s="2" t="str">
        <x:v>NR</x:v>
      </x:c>
      <x:c r="U50" s="2" t="str">
        <x:v>2024-09-17 to 2024-10-07</x:v>
      </x:c>
      <x:c r="V50" s="2" t="str">
        <x:v>NR</x:v>
      </x:c>
      <x:c r="W50" s="2" t="str">
        <x:v>NR</x:v>
      </x:c>
      <x:c r="X50" s="2" t="n">
        <x:v>3</x:v>
      </x:c>
      <x:c r="Y50" s="2" t="str">
        <x:v>NR</x:v>
      </x:c>
      <x:c r="Z50" s="2" t="str">
        <x:v>NR</x:v>
      </x:c>
      <x:c r="AA50" s="2" t="str">
        <x:v>No</x:v>
      </x:c>
      <x:c r="AB50" s="2" t="str">
        <x:v>No</x:v>
      </x:c>
      <x:c r="AC50" s="6" t="str">
        <x:v>p. 4; Section III-C. Experimental Variables</x:v>
      </x:c>
      <x:c r="AD50" s="6" t="str">
        <x:v>Four different LLMs are used in the experiments and compared to one another: GPT-4o, GPT-3.5-turbo, Gemini-1.5, and Claude 3.5 Sonnet.</x:v>
      </x:c>
    </x:row>
    <x:row r="51" ht="76" customHeight="1">
      <x:c r="A51" s="2" t="str">
        <x:v>S36</x:v>
      </x:c>
      <x:c r="B51" s="2" t="str">
        <x:v>2026</x:v>
      </x:c>
      <x:c r="C51" s="2" t="str">
        <x:v>Published</x:v>
      </x:c>
      <x:c r="D51" s="6" t="str">
        <x:v>DDD-Enforcer: An AI-Powered Multi-Agent System for Real-Time Domain-Driven Design Enforcement</x:v>
      </x:c>
      <x:c r="E51" s="2" t="str">
        <x:v>S36-MU01</x:v>
      </x:c>
      <x:c r="F51" s="2" t="str">
        <x:v>S36-O01</x:v>
      </x:c>
      <x:c r="G51" s="2" t="str">
        <x:v>S36-T01</x:v>
      </x:c>
      <x:c r="H51" s="2" t="str">
        <x:v>Google Gemini</x:v>
      </x:c>
      <x:c r="I51" s="2" t="str">
        <x:v>Gemini 2.5 Flash</x:v>
      </x:c>
      <x:c r="J51" s="2" t="str">
        <x:v>Gemini</x:v>
      </x:c>
      <x:c r="K51" s="2" t="str">
        <x:v>Gemini 2.5 Flash</x:v>
      </x:c>
      <x:c r="L51" s="2" t="str">
        <x:v>Closed</x:v>
      </x:c>
      <x:c r="M51" s="2" t="str">
        <x:v>Closed</x:v>
      </x:c>
      <x:c r="N51" s="6" t="str">
        <x:v>Reported in extraction</x:v>
      </x:c>
      <x:c r="O51" s="2" t="str">
        <x:v>Yes</x:v>
      </x:c>
      <x:c r="P51" s="2" t="str"/>
      <x:c r="Q51" s="2" t="str">
        <x:v>API</x:v>
      </x:c>
      <x:c r="R51" s="2" t="str">
        <x:v>Cloud API</x:v>
      </x:c>
      <x:c r="S51" s="2" t="str">
        <x:v>2.5 Flash</x:v>
      </x:c>
      <x:c r="T51" s="2" t="str">
        <x:v>NR</x:v>
      </x:c>
      <x:c r="U51" s="2" t="str">
        <x:v>NR</x:v>
      </x:c>
      <x:c r="V51" s="2" t="str">
        <x:v>NR</x:v>
      </x:c>
      <x:c r="W51" s="2" t="str">
        <x:v>NR</x:v>
      </x:c>
      <x:c r="X51" s="2" t="str">
        <x:v>NR</x:v>
      </x:c>
      <x:c r="Y51" s="2" t="str">
        <x:v>NR</x:v>
      </x:c>
      <x:c r="Z51" s="2" t="str">
        <x:v>NR</x:v>
      </x:c>
      <x:c r="AA51" s="2" t="str">
        <x:v>Yes</x:v>
      </x:c>
      <x:c r="AB51" s="2" t="str">
        <x:v>Yes</x:v>
      </x:c>
      <x:c r="AC51" s="6" t="str">
        <x:v>p. 4; Section V.E</x:v>
      </x:c>
      <x:c r="AD51" s="6" t="str">
        <x:v>Gemini 2.5 Flash for the computationally intensive domain model generation pipeline</x:v>
      </x:c>
    </x:row>
    <x:row r="52" ht="76" customHeight="1">
      <x:c r="A52" s="2" t="str">
        <x:v>S38</x:v>
      </x:c>
      <x:c r="B52" s="2" t="str">
        <x:v>2026</x:v>
      </x:c>
      <x:c r="C52" s="2" t="str">
        <x:v>Published</x:v>
      </x:c>
      <x:c r="D52" s="6" t="str">
        <x:v>LusGen: Leveraging LLMs for Safety-Critical Lustre Design and Requirements Traceability</x:v>
      </x:c>
      <x:c r="E52" s="2" t="str">
        <x:v>S38-MU04</x:v>
      </x:c>
      <x:c r="F52" s="2" t="str">
        <x:v>S38-O01</x:v>
      </x:c>
      <x:c r="G52" s="2" t="str">
        <x:v>S38-T01</x:v>
      </x:c>
      <x:c r="H52" s="2" t="str">
        <x:v>Gemini2.5-flash</x:v>
      </x:c>
      <x:c r="I52" s="2" t="str">
        <x:v>Gemini2.5-flash</x:v>
      </x:c>
      <x:c r="J52" s="2" t="str">
        <x:v>Gemini</x:v>
      </x:c>
      <x:c r="K52" s="2" t="str">
        <x:v>Gemini 2.5 Flash</x:v>
      </x:c>
      <x:c r="L52" s="2" t="str">
        <x:v>Closed</x:v>
      </x:c>
      <x:c r="M52" s="2" t="str">
        <x:v>Closed</x:v>
      </x:c>
      <x:c r="N52" s="6" t="str">
        <x:v>Reported in extraction</x:v>
      </x:c>
      <x:c r="O52" s="2" t="str">
        <x:v>Yes</x:v>
      </x:c>
      <x:c r="P52" s="2" t="str"/>
      <x:c r="Q52" s="2" t="str">
        <x:v>API</x:v>
      </x:c>
      <x:c r="R52" s="2" t="str">
        <x:v>NR</x:v>
      </x:c>
      <x:c r="S52" s="2" t="str">
        <x:v>2.5-flash</x:v>
      </x:c>
      <x:c r="T52" s="2" t="str">
        <x:v>NR</x:v>
      </x:c>
      <x:c r="U52" s="2" t="str">
        <x:v>NR</x:v>
      </x:c>
      <x:c r="V52" s="2" t="str">
        <x:v>NR</x:v>
      </x:c>
      <x:c r="W52" s="2" t="str">
        <x:v>NR</x:v>
      </x:c>
      <x:c r="X52" s="2" t="str">
        <x:v>NR</x:v>
      </x:c>
      <x:c r="Y52" s="2" t="str">
        <x:v>NR</x:v>
      </x:c>
      <x:c r="Z52" s="2" t="str">
        <x:v>NR</x:v>
      </x:c>
      <x:c r="AA52" s="2" t="str">
        <x:v>No</x:v>
      </x:c>
      <x:c r="AB52" s="2" t="str">
        <x:v>No</x:v>
      </x:c>
      <x:c r="AC52" s="6" t="str">
        <x:v>p. 15; Table 3</x:v>
      </x:c>
      <x:c r="AD52" s="6" t="str">
        <x:v>4. Gemini2.5-flash</x:v>
      </x:c>
    </x:row>
    <x:row r="53" ht="76" customHeight="1">
      <x:c r="A53" s="2" t="str">
        <x:v>S53</x:v>
      </x:c>
      <x:c r="B53" s="2" t="str">
        <x:v>2025</x:v>
      </x:c>
      <x:c r="C53" s="2" t="str">
        <x:v>Published</x:v>
      </x:c>
      <x:c r="D53" s="6" t="str">
        <x:v>Evaluating LLMs for Automated Requirement and Test Case Generation in Railway Signaling Systems</x:v>
      </x:c>
      <x:c r="E53" s="2" t="str">
        <x:v>S53-MU03</x:v>
      </x:c>
      <x:c r="F53" s="2" t="str">
        <x:v>S53-O01</x:v>
      </x:c>
      <x:c r="G53" s="2" t="str">
        <x:v>S53-T01</x:v>
      </x:c>
      <x:c r="H53" s="2" t="str">
        <x:v>Gemini</x:v>
      </x:c>
      <x:c r="I53" s="2" t="str">
        <x:v>Gemini 2.5 Flash</x:v>
      </x:c>
      <x:c r="J53" s="2" t="str">
        <x:v>Gemini</x:v>
      </x:c>
      <x:c r="K53" s="2" t="str">
        <x:v>Gemini 2.5 Flash</x:v>
      </x:c>
      <x:c r="L53" s="2" t="str">
        <x:v>Closed</x:v>
      </x:c>
      <x:c r="M53" s="2" t="str">
        <x:v>Closed</x:v>
      </x:c>
      <x:c r="N53" s="6" t="str">
        <x:v>Reported in extraction</x:v>
      </x:c>
      <x:c r="O53" s="2" t="str">
        <x:v>Yes</x:v>
      </x:c>
      <x:c r="P53" s="2" t="str"/>
      <x:c r="Q53" s="2" t="str">
        <x:v>API</x:v>
      </x:c>
      <x:c r="R53" s="2" t="str">
        <x:v>Cloud API</x:v>
      </x:c>
      <x:c r="S53" s="2" t="str">
        <x:v>2.5 Flash</x:v>
      </x:c>
      <x:c r="T53" s="2" t="str">
        <x:v>NR</x:v>
      </x:c>
      <x:c r="U53" s="2" t="str">
        <x:v>NR</x:v>
      </x:c>
      <x:c r="V53" s="2" t="str">
        <x:v>NR</x:v>
      </x:c>
      <x:c r="W53" s="2" t="str">
        <x:v>NR</x:v>
      </x:c>
      <x:c r="X53" s="2" t="str">
        <x:v>NR</x:v>
      </x:c>
      <x:c r="Y53" s="2" t="str">
        <x:v>NR</x:v>
      </x:c>
      <x:c r="Z53" s="2" t="str">
        <x:v>NR</x:v>
      </x:c>
      <x:c r="AA53" s="2" t="str">
        <x:v>No</x:v>
      </x:c>
      <x:c r="AB53" s="2" t="str">
        <x:v>No</x:v>
      </x:c>
      <x:c r="AC53" s="6" t="str">
        <x:v>p. 2; Section II-C</x:v>
      </x:c>
      <x:c r="AD53" s="6" t="str">
        <x:v>OpenAI's GPT4, Anthropic's Claude Sonnet 4 and Google's Gemini 2.5 Flash were considered</x:v>
      </x:c>
    </x:row>
    <x:row r="54" ht="76" customHeight="1">
      <x:c r="A54" s="2" t="str">
        <x:v>S53</x:v>
      </x:c>
      <x:c r="B54" s="2" t="str">
        <x:v>2025</x:v>
      </x:c>
      <x:c r="C54" s="2" t="str">
        <x:v>Published</x:v>
      </x:c>
      <x:c r="D54" s="6" t="str">
        <x:v>Evaluating LLMs for Automated Requirement and Test Case Generation in Railway Signaling Systems</x:v>
      </x:c>
      <x:c r="E54" s="2" t="str">
        <x:v>S53-MU06</x:v>
      </x:c>
      <x:c r="F54" s="2" t="str">
        <x:v>S53-O02</x:v>
      </x:c>
      <x:c r="G54" s="2" t="str">
        <x:v>S53-T02</x:v>
      </x:c>
      <x:c r="H54" s="2" t="str">
        <x:v>Gemini</x:v>
      </x:c>
      <x:c r="I54" s="2" t="str">
        <x:v>Gemini 2.5 Flash</x:v>
      </x:c>
      <x:c r="J54" s="2" t="str">
        <x:v>Gemini</x:v>
      </x:c>
      <x:c r="K54" s="2" t="str">
        <x:v>Gemini 2.5 Flash</x:v>
      </x:c>
      <x:c r="L54" s="2" t="str">
        <x:v>Closed</x:v>
      </x:c>
      <x:c r="M54" s="2" t="str">
        <x:v>Closed</x:v>
      </x:c>
      <x:c r="N54" s="6" t="str">
        <x:v>Reported in extraction</x:v>
      </x:c>
      <x:c r="O54" s="2" t="str">
        <x:v>Yes</x:v>
      </x:c>
      <x:c r="P54" s="2" t="str"/>
      <x:c r="Q54" s="2" t="str">
        <x:v>API</x:v>
      </x:c>
      <x:c r="R54" s="2" t="str">
        <x:v>Cloud API</x:v>
      </x:c>
      <x:c r="S54" s="2" t="str">
        <x:v>2.5 Flash</x:v>
      </x:c>
      <x:c r="T54" s="2" t="str">
        <x:v>NR</x:v>
      </x:c>
      <x:c r="U54" s="2" t="str">
        <x:v>NR</x:v>
      </x:c>
      <x:c r="V54" s="2" t="str">
        <x:v>NR</x:v>
      </x:c>
      <x:c r="W54" s="2" t="str">
        <x:v>NR</x:v>
      </x:c>
      <x:c r="X54" s="2" t="str">
        <x:v>NR</x:v>
      </x:c>
      <x:c r="Y54" s="2" t="str">
        <x:v>NR</x:v>
      </x:c>
      <x:c r="Z54" s="2" t="str">
        <x:v>NR</x:v>
      </x:c>
      <x:c r="AA54" s="2" t="str">
        <x:v>No</x:v>
      </x:c>
      <x:c r="AB54" s="2" t="str">
        <x:v>No</x:v>
      </x:c>
      <x:c r="AC54" s="6" t="str">
        <x:v>p. 2; Section II-C</x:v>
      </x:c>
      <x:c r="AD54" s="6" t="str">
        <x:v>OpenAI's GPT4, Anthropic's Claude Sonnet 4 and Google's Gemini 2.5 Flash were considered</x:v>
      </x:c>
    </x:row>
    <x:row r="55" ht="76" customHeight="1">
      <x:c r="A55" s="2" t="str">
        <x:v>S53</x:v>
      </x:c>
      <x:c r="B55" s="2" t="str">
        <x:v>2025</x:v>
      </x:c>
      <x:c r="C55" s="2" t="str">
        <x:v>Published</x:v>
      </x:c>
      <x:c r="D55" s="6" t="str">
        <x:v>Evaluating LLMs for Automated Requirement and Test Case Generation in Railway Signaling Systems</x:v>
      </x:c>
      <x:c r="E55" s="2" t="str">
        <x:v>S53-MU09</x:v>
      </x:c>
      <x:c r="F55" s="2" t="str">
        <x:v>S53-O03</x:v>
      </x:c>
      <x:c r="G55" s="2" t="str">
        <x:v>S53-T03</x:v>
      </x:c>
      <x:c r="H55" s="2" t="str">
        <x:v>Gemini</x:v>
      </x:c>
      <x:c r="I55" s="2" t="str">
        <x:v>Gemini 2.5 Flash</x:v>
      </x:c>
      <x:c r="J55" s="2" t="str">
        <x:v>Gemini</x:v>
      </x:c>
      <x:c r="K55" s="2" t="str">
        <x:v>Gemini 2.5 Flash</x:v>
      </x:c>
      <x:c r="L55" s="2" t="str">
        <x:v>Closed</x:v>
      </x:c>
      <x:c r="M55" s="2" t="str">
        <x:v>Closed</x:v>
      </x:c>
      <x:c r="N55" s="6" t="str">
        <x:v>Reported in extraction</x:v>
      </x:c>
      <x:c r="O55" s="2" t="str">
        <x:v>Yes</x:v>
      </x:c>
      <x:c r="P55" s="2" t="str"/>
      <x:c r="Q55" s="2" t="str">
        <x:v>API</x:v>
      </x:c>
      <x:c r="R55" s="2" t="str">
        <x:v>Cloud API</x:v>
      </x:c>
      <x:c r="S55" s="2" t="str">
        <x:v>2.5 Flash</x:v>
      </x:c>
      <x:c r="T55" s="2" t="str">
        <x:v>NR</x:v>
      </x:c>
      <x:c r="U55" s="2" t="str">
        <x:v>NR</x:v>
      </x:c>
      <x:c r="V55" s="2" t="str">
        <x:v>NR</x:v>
      </x:c>
      <x:c r="W55" s="2" t="str">
        <x:v>NR</x:v>
      </x:c>
      <x:c r="X55" s="2" t="str">
        <x:v>NR</x:v>
      </x:c>
      <x:c r="Y55" s="2" t="str">
        <x:v>NR</x:v>
      </x:c>
      <x:c r="Z55" s="2" t="str">
        <x:v>NR</x:v>
      </x:c>
      <x:c r="AA55" s="2" t="str">
        <x:v>No</x:v>
      </x:c>
      <x:c r="AB55" s="2" t="str">
        <x:v>No</x:v>
      </x:c>
      <x:c r="AC55" s="6" t="str">
        <x:v>p. 2; Section II-C</x:v>
      </x:c>
      <x:c r="AD55" s="6" t="str">
        <x:v>OpenAI's GPT4, Anthropic's Claude Sonnet 4 and Google's Gemini 2.5 Flash were considered</x:v>
      </x:c>
    </x:row>
    <x:row r="56" ht="76" customHeight="1">
      <x:c r="A56" s="2" t="str">
        <x:v>S53</x:v>
      </x:c>
      <x:c r="B56" s="2" t="str">
        <x:v>2025</x:v>
      </x:c>
      <x:c r="C56" s="2" t="str">
        <x:v>Published</x:v>
      </x:c>
      <x:c r="D56" s="6" t="str">
        <x:v>Evaluating LLMs for Automated Requirement and Test Case Generation in Railway Signaling Systems</x:v>
      </x:c>
      <x:c r="E56" s="2" t="str">
        <x:v>S53-MU12</x:v>
      </x:c>
      <x:c r="F56" s="2" t="str">
        <x:v>S53-O04</x:v>
      </x:c>
      <x:c r="G56" s="2" t="str">
        <x:v>S53-T04</x:v>
      </x:c>
      <x:c r="H56" s="2" t="str">
        <x:v>Gemini</x:v>
      </x:c>
      <x:c r="I56" s="2" t="str">
        <x:v>Gemini 2.5 Flash</x:v>
      </x:c>
      <x:c r="J56" s="2" t="str">
        <x:v>Gemini</x:v>
      </x:c>
      <x:c r="K56" s="2" t="str">
        <x:v>Gemini 2.5 Flash</x:v>
      </x:c>
      <x:c r="L56" s="2" t="str">
        <x:v>Closed</x:v>
      </x:c>
      <x:c r="M56" s="2" t="str">
        <x:v>Closed</x:v>
      </x:c>
      <x:c r="N56" s="6" t="str">
        <x:v>Reported in extraction</x:v>
      </x:c>
      <x:c r="O56" s="2" t="str">
        <x:v>Yes</x:v>
      </x:c>
      <x:c r="P56" s="2" t="str"/>
      <x:c r="Q56" s="2" t="str">
        <x:v>API</x:v>
      </x:c>
      <x:c r="R56" s="2" t="str">
        <x:v>Cloud API</x:v>
      </x:c>
      <x:c r="S56" s="2" t="str">
        <x:v>2.5 Flash</x:v>
      </x:c>
      <x:c r="T56" s="2" t="str">
        <x:v>NR</x:v>
      </x:c>
      <x:c r="U56" s="2" t="str">
        <x:v>NR</x:v>
      </x:c>
      <x:c r="V56" s="2" t="str">
        <x:v>NR</x:v>
      </x:c>
      <x:c r="W56" s="2" t="str">
        <x:v>NR</x:v>
      </x:c>
      <x:c r="X56" s="2" t="str">
        <x:v>NR</x:v>
      </x:c>
      <x:c r="Y56" s="2" t="str">
        <x:v>NR</x:v>
      </x:c>
      <x:c r="Z56" s="2" t="str">
        <x:v>NR</x:v>
      </x:c>
      <x:c r="AA56" s="2" t="str">
        <x:v>No</x:v>
      </x:c>
      <x:c r="AB56" s="2" t="str">
        <x:v>No</x:v>
      </x:c>
      <x:c r="AC56" s="6" t="str">
        <x:v>p. 2; Section II-C</x:v>
      </x:c>
      <x:c r="AD56" s="6" t="str">
        <x:v>OpenAI's GPT4, Anthropic's Claude Sonnet 4 and Google's Gemini 2.5 Flash were considered</x:v>
      </x:c>
    </x:row>
    <x:row r="57" ht="76" customHeight="1">
      <x:c r="A57" s="2" t="str">
        <x:v>S36</x:v>
      </x:c>
      <x:c r="B57" s="2" t="str">
        <x:v>2026</x:v>
      </x:c>
      <x:c r="C57" s="2" t="str">
        <x:v>Published</x:v>
      </x:c>
      <x:c r="D57" s="6" t="str">
        <x:v>DDD-Enforcer: An AI-Powered Multi-Agent System for Real-Time Domain-Driven Design Enforcement</x:v>
      </x:c>
      <x:c r="E57" s="2" t="str">
        <x:v>S36-MU02</x:v>
      </x:c>
      <x:c r="F57" s="2" t="str">
        <x:v>S36-O02</x:v>
      </x:c>
      <x:c r="G57" s="2" t="str">
        <x:v>S36-T01</x:v>
      </x:c>
      <x:c r="H57" s="2" t="str">
        <x:v>Google Gemini</x:v>
      </x:c>
      <x:c r="I57" s="2" t="str">
        <x:v>Gemini 2.5 Flash Lite</x:v>
      </x:c>
      <x:c r="J57" s="2" t="str">
        <x:v>Gemini</x:v>
      </x:c>
      <x:c r="K57" s="2" t="str">
        <x:v>Gemini 2.5 Flash Lite</x:v>
      </x:c>
      <x:c r="L57" s="2" t="str">
        <x:v>Closed</x:v>
      </x:c>
      <x:c r="M57" s="2" t="str">
        <x:v>Closed</x:v>
      </x:c>
      <x:c r="N57" s="6" t="str">
        <x:v>Reported in extraction</x:v>
      </x:c>
      <x:c r="O57" s="2" t="str">
        <x:v>Yes</x:v>
      </x:c>
      <x:c r="P57" s="2" t="str"/>
      <x:c r="Q57" s="2" t="str">
        <x:v>API</x:v>
      </x:c>
      <x:c r="R57" s="2" t="str">
        <x:v>Cloud API</x:v>
      </x:c>
      <x:c r="S57" s="2" t="str">
        <x:v>2.5 Flash Lite</x:v>
      </x:c>
      <x:c r="T57" s="2" t="str">
        <x:v>NR</x:v>
      </x:c>
      <x:c r="U57" s="2" t="str">
        <x:v>NR</x:v>
      </x:c>
      <x:c r="V57" s="2" t="str">
        <x:v>NR</x:v>
      </x:c>
      <x:c r="W57" s="2" t="str">
        <x:v>NR</x:v>
      </x:c>
      <x:c r="X57" s="2" t="str">
        <x:v>NR</x:v>
      </x:c>
      <x:c r="Y57" s="2" t="str">
        <x:v>NR</x:v>
      </x:c>
      <x:c r="Z57" s="2" t="str">
        <x:v>NR</x:v>
      </x:c>
      <x:c r="AA57" s="2" t="str">
        <x:v>Yes</x:v>
      </x:c>
      <x:c r="AB57" s="2" t="str">
        <x:v>Yes</x:v>
      </x:c>
      <x:c r="AC57" s="6" t="str">
        <x:v>p. 4; Section V.E</x:v>
      </x:c>
      <x:c r="AD57" s="6" t="str">
        <x:v>Gemini 2.5 Flash Lite for real-time code validation</x:v>
      </x:c>
    </x:row>
    <x:row r="58" ht="76" customHeight="1">
      <x:c r="A58" s="2" t="str">
        <x:v>S14</x:v>
      </x:c>
      <x:c r="B58" s="2" t="str">
        <x:v>2025</x:v>
      </x:c>
      <x:c r="C58" s="2" t="str">
        <x:v>Grey literature</x:v>
      </x:c>
      <x:c r="D58" s="6" t="str">
        <x:v>Natural Language-Programming Language Software Traceability Link Recovery Needs More than Textual Similarity</x:v>
      </x:c>
      <x:c r="E58" s="2" t="str">
        <x:v>S14-MU01</x:v>
      </x:c>
      <x:c r="F58" s="2" t="str">
        <x:v>S14-O01</x:v>
      </x:c>
      <x:c r="G58" s="2" t="str">
        <x:v>S14-T01</x:v>
      </x:c>
      <x:c r="H58" s="2" t="str">
        <x:v>Gemini 2.5 Pro</x:v>
      </x:c>
      <x:c r="I58" s="2" t="str">
        <x:v>Gemini 2.5 Pro</x:v>
      </x:c>
      <x:c r="J58" s="2" t="str">
        <x:v>Gemini</x:v>
      </x:c>
      <x:c r="K58" s="2" t="str">
        <x:v>Gemini 2.5 Pro</x:v>
      </x:c>
      <x:c r="L58" s="2" t="str">
        <x:v>Closed</x:v>
      </x:c>
      <x:c r="M58" s="2" t="str">
        <x:v>Closed</x:v>
      </x:c>
      <x:c r="N58" s="6" t="str">
        <x:v>Reported in extraction</x:v>
      </x:c>
      <x:c r="O58" s="2" t="str">
        <x:v>Yes</x:v>
      </x:c>
      <x:c r="P58" s="2" t="str"/>
      <x:c r="Q58" s="2" t="str">
        <x:v>API</x:v>
      </x:c>
      <x:c r="R58" s="2" t="str">
        <x:v>API</x:v>
      </x:c>
      <x:c r="S58" s="2" t="str">
        <x:v>Preview 06-05</x:v>
      </x:c>
      <x:c r="T58" s="2" t="str">
        <x:v>NR</x:v>
      </x:c>
      <x:c r="U58" s="2" t="str">
        <x:v>NR</x:v>
      </x:c>
      <x:c r="V58" s="2" t="n">
        <x:v>1</x:v>
      </x:c>
      <x:c r="W58" s="2" t="str">
        <x:v>NR</x:v>
      </x:c>
      <x:c r="X58" s="2" t="str">
        <x:v>NR</x:v>
      </x:c>
      <x:c r="Y58" s="2" t="str">
        <x:v>NR</x:v>
      </x:c>
      <x:c r="Z58" s="2" t="str">
        <x:v>NR</x:v>
      </x:c>
      <x:c r="AA58" s="2" t="str">
        <x:v>No</x:v>
      </x:c>
      <x:c r="AB58" s="2" t="str">
        <x:v>No</x:v>
      </x:c>
      <x:c r="AC58" s="6" t="str">
        <x:v>p. 25; Section 4.3.2 Gemini-All</x:v>
      </x:c>
      <x:c r="AD58" s="6" t="str">
        <x:v>we set the temperature parameter to the recommended value of 1.0</x:v>
      </x:c>
    </x:row>
    <x:row r="59" ht="76" customHeight="1">
      <x:c r="A59" s="2" t="str">
        <x:v>S34</x:v>
      </x:c>
      <x:c r="B59" s="2" t="str">
        <x:v>2025</x:v>
      </x:c>
      <x:c r="C59" s="2" t="str">
        <x:v>Grey literature</x:v>
      </x:c>
      <x:c r="D59" s="6" t="str">
        <x:v>Behavioral Augmentation of UML Class Diagrams: An Empirical Study of Large Language Models for Method Generation</x:v>
      </x:c>
      <x:c r="E59" s="2" t="str">
        <x:v>S34-MU02</x:v>
      </x:c>
      <x:c r="F59" s="2" t="str">
        <x:v>S34-O01</x:v>
      </x:c>
      <x:c r="G59" s="2" t="str">
        <x:v>S34-T01</x:v>
      </x:c>
      <x:c r="H59" s="2" t="str">
        <x:v>Gemini 2.5 Pro</x:v>
      </x:c>
      <x:c r="I59" s="2" t="str">
        <x:v>Gemini 2.5 Pro Preview 05-06</x:v>
      </x:c>
      <x:c r="J59" s="2" t="str">
        <x:v>Gemini</x:v>
      </x:c>
      <x:c r="K59" s="2" t="str">
        <x:v>Gemini 2.5 Pro</x:v>
      </x:c>
      <x:c r="L59" s="2" t="str">
        <x:v>Closed</x:v>
      </x:c>
      <x:c r="M59" s="2" t="str">
        <x:v>Closed</x:v>
      </x:c>
      <x:c r="N59" s="6" t="str">
        <x:v>Reported in extraction</x:v>
      </x:c>
      <x:c r="O59" s="2" t="str">
        <x:v>Yes</x:v>
      </x:c>
      <x:c r="P59" s="2" t="str"/>
      <x:c r="Q59" s="2" t="str">
        <x:v>NR</x:v>
      </x:c>
      <x:c r="R59" s="2" t="str">
        <x:v>NR</x:v>
      </x:c>
      <x:c r="S59" s="2" t="str">
        <x:v>2.5 Pro Preview 05-06</x:v>
      </x:c>
      <x:c r="T59" s="2" t="str">
        <x:v>Undisclosed</x:v>
      </x:c>
      <x:c r="U59" s="2" t="str">
        <x:v>NR</x:v>
      </x:c>
      <x:c r="V59" s="2" t="str">
        <x:v>NR</x:v>
      </x:c>
      <x:c r="W59" s="2" t="str">
        <x:v>NR</x:v>
      </x:c>
      <x:c r="X59" s="2" t="n">
        <x:v>10</x:v>
      </x:c>
      <x:c r="Y59" s="2" t="str">
        <x:v>1M tokens</x:v>
      </x:c>
      <x:c r="Z59" s="2" t="str">
        <x:v>NR</x:v>
      </x:c>
      <x:c r="AA59" s="2" t="str">
        <x:v>No</x:v>
      </x:c>
      <x:c r="AB59" s="2" t="str">
        <x:v>Yes</x:v>
      </x:c>
      <x:c r="AC59" s="6" t="str">
        <x:v>p. 2; Section 1, last paragraph</x:v>
      </x:c>
      <x:c r="AD59" s="6" t="str">
        <x:v>nine state-of-the-art LLMs—Claude 3.7, Gemini 2.5 Pro, Grok 3, Qwen 3, DeepSeek-R1, GPT-4o, ChatGPT-o3, Llama 4, and Mixtral 8×22B</x:v>
      </x:c>
    </x:row>
    <x:row r="60" ht="76" customHeight="1">
      <x:c r="A60" s="2" t="str">
        <x:v>S43</x:v>
      </x:c>
      <x:c r="B60" s="2" t="str">
        <x:v>2025</x:v>
      </x:c>
      <x:c r="C60" s="2" t="str">
        <x:v>Published</x:v>
      </x:c>
      <x:c r="D60" s="6" t="str">
        <x:v>HGTRTracer: Advancing Requirements-Code Traceability with LLM-Augmented Attribution Reasoning and Heterogeneous Graph Transformer</x:v>
      </x:c>
      <x:c r="E60" s="2" t="str">
        <x:v>S43-MU01</x:v>
      </x:c>
      <x:c r="F60" s="2" t="str">
        <x:v>S43-O01</x:v>
      </x:c>
      <x:c r="G60" s="2" t="str">
        <x:v>S43-T01</x:v>
      </x:c>
      <x:c r="H60" s="2" t="str">
        <x:v>Gemini 2.5 pro</x:v>
      </x:c>
      <x:c r="I60" s="2" t="str">
        <x:v>Gemini 2.5 Pro</x:v>
      </x:c>
      <x:c r="J60" s="2" t="str">
        <x:v>Gemini</x:v>
      </x:c>
      <x:c r="K60" s="2" t="str">
        <x:v>Gemini 2.5 Pro</x:v>
      </x:c>
      <x:c r="L60" s="2" t="str">
        <x:v>Closed</x:v>
      </x:c>
      <x:c r="M60" s="2" t="str">
        <x:v>Closed</x:v>
      </x:c>
      <x:c r="N60" s="6" t="str">
        <x:v>Reported in extraction</x:v>
      </x:c>
      <x:c r="O60" s="2" t="str">
        <x:v>Yes</x:v>
      </x:c>
      <x:c r="P60" s="2" t="str"/>
      <x:c r="Q60" s="2" t="str">
        <x:v>Unclear</x:v>
      </x:c>
      <x:c r="R60" s="2" t="str">
        <x:v>Unclear</x:v>
      </x:c>
      <x:c r="S60" s="2" t="str">
        <x:v>NR</x:v>
      </x:c>
      <x:c r="T60" s="2" t="str">
        <x:v>NR</x:v>
      </x:c>
      <x:c r="U60" s="2" t="str">
        <x:v>Unclear</x:v>
      </x:c>
      <x:c r="V60" s="2" t="str">
        <x:v>NR</x:v>
      </x:c>
      <x:c r="W60" s="2" t="str">
        <x:v>NR</x:v>
      </x:c>
      <x:c r="X60" s="2" t="str">
        <x:v>NR</x:v>
      </x:c>
      <x:c r="Y60" s="2" t="str">
        <x:v>NR</x:v>
      </x:c>
      <x:c r="Z60" s="2" t="str">
        <x:v>NR</x:v>
      </x:c>
      <x:c r="AA60" s="2" t="str">
        <x:v>No</x:v>
      </x:c>
      <x:c r="AB60" s="2" t="str">
        <x:v>No</x:v>
      </x:c>
      <x:c r="AC60" s="6" t="str">
        <x:v>p. 8; Section V-A</x:v>
      </x:c>
      <x:c r="AD60" s="6" t="str">
        <x:v>Google’s Gemini 2.5 pro model has notable technical advantages.</x:v>
      </x:c>
    </x:row>
    <x:row r="61" ht="76" customHeight="1">
      <x:c r="A61" s="2" t="str">
        <x:v>S46</x:v>
      </x:c>
      <x:c r="B61" s="2" t="str">
        <x:v>2025</x:v>
      </x:c>
      <x:c r="C61" s="2" t="str">
        <x:v>Published</x:v>
      </x:c>
      <x:c r="D61" s="6" t="str">
        <x:v>Improving software development traceability with structured prompting</x:v>
      </x:c>
      <x:c r="E61" s="2" t="str">
        <x:v>S46-MU11</x:v>
      </x:c>
      <x:c r="F61" s="2" t="str">
        <x:v>S46-O01</x:v>
      </x:c>
      <x:c r="G61" s="2" t="str">
        <x:v>S46-T01</x:v>
      </x:c>
      <x:c r="H61" s="2" t="str">
        <x:v>Gemini</x:v>
      </x:c>
      <x:c r="I61" s="2" t="str">
        <x:v>Google Gemini service</x:v>
      </x:c>
      <x:c r="J61" s="2" t="str">
        <x:v>Gemini</x:v>
      </x:c>
      <x:c r="K61" s="2" t="str">
        <x:v>Google Gemini service (version not disclosed)</x:v>
      </x:c>
      <x:c r="L61" s="2" t="str">
        <x:v>Closed</x:v>
      </x:c>
      <x:c r="M61" s="2" t="str">
        <x:v>Closed</x:v>
      </x:c>
      <x:c r="N61" s="6" t="str">
        <x:v>Reported in extraction</x:v>
      </x:c>
      <x:c r="O61" s="2" t="str">
        <x:v>Yes</x:v>
      </x:c>
      <x:c r="P61" s="2" t="str"/>
      <x:c r="Q61" s="2" t="str">
        <x:v>NR</x:v>
      </x:c>
      <x:c r="R61" s="2" t="str">
        <x:v>Gemini web service</x:v>
      </x:c>
      <x:c r="S61" s="2" t="str">
        <x:v>NR</x:v>
      </x:c>
      <x:c r="T61" s="2" t="str">
        <x:v>NR</x:v>
      </x:c>
      <x:c r="U61" s="2" t="str">
        <x:v>2024-05</x:v>
      </x:c>
      <x:c r="V61" s="2" t="str">
        <x:v>NR</x:v>
      </x:c>
      <x:c r="W61" s="2" t="str">
        <x:v>NR</x:v>
      </x:c>
      <x:c r="X61" s="2" t="str">
        <x:v>NR</x:v>
      </x:c>
      <x:c r="Y61" s="2" t="str">
        <x:v>NR</x:v>
      </x:c>
      <x:c r="Z61" s="2" t="str">
        <x:v>NR</x:v>
      </x:c>
      <x:c r="AA61" s="2" t="str">
        <x:v>No</x:v>
      </x:c>
      <x:c r="AB61" s="2" t="str">
        <x:v>No</x:v>
      </x:c>
      <x:c r="AC61" s="6" t="str">
        <x:v>p. 9; Evaluation section</x:v>
      </x:c>
      <x:c r="AD61" s="6" t="str">
        <x:v>We utilize five prominent AI models—Meta (based on tured prompting, and two to three times more with Meta Llama 3),5 Gemini (no version information structured prompting. Despite Claude and ChatGPT</x:v>
      </x:c>
    </x:row>
    <x:row r="62" ht="76" customHeight="1">
      <x:c r="A62" s="2" t="str">
        <x:v>S46</x:v>
      </x:c>
      <x:c r="B62" s="2" t="str">
        <x:v>2025</x:v>
      </x:c>
      <x:c r="C62" s="2" t="str">
        <x:v>Published</x:v>
      </x:c>
      <x:c r="D62" s="6" t="str">
        <x:v>Improving software development traceability with structured prompting</x:v>
      </x:c>
      <x:c r="E62" s="2" t="str">
        <x:v>S46-MU12</x:v>
      </x:c>
      <x:c r="F62" s="2" t="str">
        <x:v>S46-O02</x:v>
      </x:c>
      <x:c r="G62" s="2" t="str">
        <x:v>S46-T02</x:v>
      </x:c>
      <x:c r="H62" s="2" t="str">
        <x:v>Gemini</x:v>
      </x:c>
      <x:c r="I62" s="2" t="str">
        <x:v>Google Gemini service</x:v>
      </x:c>
      <x:c r="J62" s="2" t="str">
        <x:v>Gemini</x:v>
      </x:c>
      <x:c r="K62" s="2" t="str">
        <x:v>Google Gemini service (version not disclosed)</x:v>
      </x:c>
      <x:c r="L62" s="2" t="str">
        <x:v>Closed</x:v>
      </x:c>
      <x:c r="M62" s="2" t="str">
        <x:v>Closed</x:v>
      </x:c>
      <x:c r="N62" s="6" t="str">
        <x:v>Reported in extraction</x:v>
      </x:c>
      <x:c r="O62" s="2" t="str">
        <x:v>Yes</x:v>
      </x:c>
      <x:c r="P62" s="2" t="str"/>
      <x:c r="Q62" s="2" t="str">
        <x:v>NR</x:v>
      </x:c>
      <x:c r="R62" s="2" t="str">
        <x:v>Gemini web service</x:v>
      </x:c>
      <x:c r="S62" s="2" t="str">
        <x:v>NR</x:v>
      </x:c>
      <x:c r="T62" s="2" t="str">
        <x:v>NR</x:v>
      </x:c>
      <x:c r="U62" s="2" t="str">
        <x:v>2024-05</x:v>
      </x:c>
      <x:c r="V62" s="2" t="str">
        <x:v>NR</x:v>
      </x:c>
      <x:c r="W62" s="2" t="str">
        <x:v>NR</x:v>
      </x:c>
      <x:c r="X62" s="2" t="str">
        <x:v>NR</x:v>
      </x:c>
      <x:c r="Y62" s="2" t="str">
        <x:v>NR</x:v>
      </x:c>
      <x:c r="Z62" s="2" t="str">
        <x:v>NR</x:v>
      </x:c>
      <x:c r="AA62" s="2" t="str">
        <x:v>No</x:v>
      </x:c>
      <x:c r="AB62" s="2" t="str">
        <x:v>No</x:v>
      </x:c>
      <x:c r="AC62" s="6" t="str">
        <x:v>p. 9; Evaluation section</x:v>
      </x:c>
      <x:c r="AD62" s="6" t="str">
        <x:v>We utilize five prominent AI models—Meta (based on tured prompting, and two to three times more with Meta Llama 3),5 Gemini (no version information structured prompting. Despite Claude and ChatGPT</x:v>
      </x:c>
    </x:row>
    <x:row r="63" ht="76" customHeight="1">
      <x:c r="A63" s="2" t="str">
        <x:v>S46</x:v>
      </x:c>
      <x:c r="B63" s="2" t="str">
        <x:v>2025</x:v>
      </x:c>
      <x:c r="C63" s="2" t="str">
        <x:v>Published</x:v>
      </x:c>
      <x:c r="D63" s="6" t="str">
        <x:v>Improving software development traceability with structured prompting</x:v>
      </x:c>
      <x:c r="E63" s="2" t="str">
        <x:v>S46-MU13</x:v>
      </x:c>
      <x:c r="F63" s="2" t="str">
        <x:v>S46-O03</x:v>
      </x:c>
      <x:c r="G63" s="2" t="str">
        <x:v>S46-T03</x:v>
      </x:c>
      <x:c r="H63" s="2" t="str">
        <x:v>Gemini</x:v>
      </x:c>
      <x:c r="I63" s="2" t="str">
        <x:v>Google Gemini service</x:v>
      </x:c>
      <x:c r="J63" s="2" t="str">
        <x:v>Gemini</x:v>
      </x:c>
      <x:c r="K63" s="2" t="str">
        <x:v>Google Gemini service (version not disclosed)</x:v>
      </x:c>
      <x:c r="L63" s="2" t="str">
        <x:v>Closed</x:v>
      </x:c>
      <x:c r="M63" s="2" t="str">
        <x:v>Closed</x:v>
      </x:c>
      <x:c r="N63" s="6" t="str">
        <x:v>Reported in extraction</x:v>
      </x:c>
      <x:c r="O63" s="2" t="str">
        <x:v>Yes</x:v>
      </x:c>
      <x:c r="P63" s="2" t="str"/>
      <x:c r="Q63" s="2" t="str">
        <x:v>NR</x:v>
      </x:c>
      <x:c r="R63" s="2" t="str">
        <x:v>Gemini web service</x:v>
      </x:c>
      <x:c r="S63" s="2" t="str">
        <x:v>NR</x:v>
      </x:c>
      <x:c r="T63" s="2" t="str">
        <x:v>NR</x:v>
      </x:c>
      <x:c r="U63" s="2" t="str">
        <x:v>2024-05</x:v>
      </x:c>
      <x:c r="V63" s="2" t="str">
        <x:v>NR</x:v>
      </x:c>
      <x:c r="W63" s="2" t="str">
        <x:v>NR</x:v>
      </x:c>
      <x:c r="X63" s="2" t="str">
        <x:v>NR</x:v>
      </x:c>
      <x:c r="Y63" s="2" t="str">
        <x:v>NR</x:v>
      </x:c>
      <x:c r="Z63" s="2" t="str">
        <x:v>NR</x:v>
      </x:c>
      <x:c r="AA63" s="2" t="str">
        <x:v>No</x:v>
      </x:c>
      <x:c r="AB63" s="2" t="str">
        <x:v>No</x:v>
      </x:c>
      <x:c r="AC63" s="6" t="str">
        <x:v>p. 9; Evaluation section</x:v>
      </x:c>
      <x:c r="AD63" s="6" t="str">
        <x:v>We utilize five prominent AI models—Meta (based on tured prompting, and two to three times more with Meta Llama 3),5 Gemini (no version information structured prompting. Despite Claude and ChatGPT</x:v>
      </x:c>
    </x:row>
    <x:row r="64" ht="76" customHeight="1">
      <x:c r="A64" s="2" t="str">
        <x:v>S46</x:v>
      </x:c>
      <x:c r="B64" s="2" t="str">
        <x:v>2025</x:v>
      </x:c>
      <x:c r="C64" s="2" t="str">
        <x:v>Published</x:v>
      </x:c>
      <x:c r="D64" s="6" t="str">
        <x:v>Improving software development traceability with structured prompting</x:v>
      </x:c>
      <x:c r="E64" s="2" t="str">
        <x:v>S46-MU14</x:v>
      </x:c>
      <x:c r="F64" s="2" t="str">
        <x:v>S46-O04</x:v>
      </x:c>
      <x:c r="G64" s="2" t="str">
        <x:v>S46-T04</x:v>
      </x:c>
      <x:c r="H64" s="2" t="str">
        <x:v>Gemini</x:v>
      </x:c>
      <x:c r="I64" s="2" t="str">
        <x:v>Google Gemini service</x:v>
      </x:c>
      <x:c r="J64" s="2" t="str">
        <x:v>Gemini</x:v>
      </x:c>
      <x:c r="K64" s="2" t="str">
        <x:v>Google Gemini service (version not disclosed)</x:v>
      </x:c>
      <x:c r="L64" s="2" t="str">
        <x:v>Closed</x:v>
      </x:c>
      <x:c r="M64" s="2" t="str">
        <x:v>Closed</x:v>
      </x:c>
      <x:c r="N64" s="6" t="str">
        <x:v>Reported in extraction</x:v>
      </x:c>
      <x:c r="O64" s="2" t="str">
        <x:v>Yes</x:v>
      </x:c>
      <x:c r="P64" s="2" t="str"/>
      <x:c r="Q64" s="2" t="str">
        <x:v>NR</x:v>
      </x:c>
      <x:c r="R64" s="2" t="str">
        <x:v>Gemini web service</x:v>
      </x:c>
      <x:c r="S64" s="2" t="str">
        <x:v>NR</x:v>
      </x:c>
      <x:c r="T64" s="2" t="str">
        <x:v>NR</x:v>
      </x:c>
      <x:c r="U64" s="2" t="str">
        <x:v>2024-05</x:v>
      </x:c>
      <x:c r="V64" s="2" t="str">
        <x:v>NR</x:v>
      </x:c>
      <x:c r="W64" s="2" t="str">
        <x:v>NR</x:v>
      </x:c>
      <x:c r="X64" s="2" t="str">
        <x:v>NR</x:v>
      </x:c>
      <x:c r="Y64" s="2" t="str">
        <x:v>NR</x:v>
      </x:c>
      <x:c r="Z64" s="2" t="str">
        <x:v>NR</x:v>
      </x:c>
      <x:c r="AA64" s="2" t="str">
        <x:v>No</x:v>
      </x:c>
      <x:c r="AB64" s="2" t="str">
        <x:v>No</x:v>
      </x:c>
      <x:c r="AC64" s="6" t="str">
        <x:v>p. 9; Evaluation section</x:v>
      </x:c>
      <x:c r="AD64" s="6" t="str">
        <x:v>We utilize five prominent AI models—Meta (based on tured prompting, and two to three times more with Meta Llama 3),5 Gemini (no version information structured prompting. Despite Claude and ChatGPT</x:v>
      </x:c>
    </x:row>
    <x:row r="65" ht="76" customHeight="1">
      <x:c r="A65" s="2" t="str">
        <x:v>S46</x:v>
      </x:c>
      <x:c r="B65" s="2" t="str">
        <x:v>2025</x:v>
      </x:c>
      <x:c r="C65" s="2" t="str">
        <x:v>Published</x:v>
      </x:c>
      <x:c r="D65" s="6" t="str">
        <x:v>Improving software development traceability with structured prompting</x:v>
      </x:c>
      <x:c r="E65" s="2" t="str">
        <x:v>S46-MU15</x:v>
      </x:c>
      <x:c r="F65" s="2" t="str">
        <x:v>S46-O05</x:v>
      </x:c>
      <x:c r="G65" s="2" t="str">
        <x:v>S46-T05</x:v>
      </x:c>
      <x:c r="H65" s="2" t="str">
        <x:v>Gemini</x:v>
      </x:c>
      <x:c r="I65" s="2" t="str">
        <x:v>Google Gemini service</x:v>
      </x:c>
      <x:c r="J65" s="2" t="str">
        <x:v>Gemini</x:v>
      </x:c>
      <x:c r="K65" s="2" t="str">
        <x:v>Google Gemini service (version not disclosed)</x:v>
      </x:c>
      <x:c r="L65" s="2" t="str">
        <x:v>Closed</x:v>
      </x:c>
      <x:c r="M65" s="2" t="str">
        <x:v>Closed</x:v>
      </x:c>
      <x:c r="N65" s="6" t="str">
        <x:v>Reported in extraction</x:v>
      </x:c>
      <x:c r="O65" s="2" t="str">
        <x:v>Yes</x:v>
      </x:c>
      <x:c r="P65" s="2" t="str"/>
      <x:c r="Q65" s="2" t="str">
        <x:v>NR</x:v>
      </x:c>
      <x:c r="R65" s="2" t="str">
        <x:v>Gemini web service</x:v>
      </x:c>
      <x:c r="S65" s="2" t="str">
        <x:v>NR</x:v>
      </x:c>
      <x:c r="T65" s="2" t="str">
        <x:v>NR</x:v>
      </x:c>
      <x:c r="U65" s="2" t="str">
        <x:v>2024-05</x:v>
      </x:c>
      <x:c r="V65" s="2" t="str">
        <x:v>NR</x:v>
      </x:c>
      <x:c r="W65" s="2" t="str">
        <x:v>NR</x:v>
      </x:c>
      <x:c r="X65" s="2" t="str">
        <x:v>NR</x:v>
      </x:c>
      <x:c r="Y65" s="2" t="str">
        <x:v>NR</x:v>
      </x:c>
      <x:c r="Z65" s="2" t="str">
        <x:v>NR</x:v>
      </x:c>
      <x:c r="AA65" s="2" t="str">
        <x:v>No</x:v>
      </x:c>
      <x:c r="AB65" s="2" t="str">
        <x:v>No</x:v>
      </x:c>
      <x:c r="AC65" s="6" t="str">
        <x:v>p. 9; Evaluation section</x:v>
      </x:c>
      <x:c r="AD65" s="6" t="str">
        <x:v>We utilize five prominent AI models—Meta (based on tured prompting, and two to three times more with Meta Llama 3),5 Gemini (no version information structured prompting. Despite Claude and ChatGPT</x:v>
      </x:c>
    </x:row>
    <x:row r="66" ht="76" customHeight="1">
      <x:c r="A66" s="2" t="str">
        <x:v>S46</x:v>
      </x:c>
      <x:c r="B66" s="2" t="str">
        <x:v>2025</x:v>
      </x:c>
      <x:c r="C66" s="2" t="str">
        <x:v>Published</x:v>
      </x:c>
      <x:c r="D66" s="6" t="str">
        <x:v>Improving software development traceability with structured prompting</x:v>
      </x:c>
      <x:c r="E66" s="2" t="str">
        <x:v>S46-MU16</x:v>
      </x:c>
      <x:c r="F66" s="2" t="str">
        <x:v>S46-O06</x:v>
      </x:c>
      <x:c r="G66" s="2" t="str">
        <x:v>S46-T06</x:v>
      </x:c>
      <x:c r="H66" s="2" t="str">
        <x:v>Gemini</x:v>
      </x:c>
      <x:c r="I66" s="2" t="str">
        <x:v>Google Gemini service</x:v>
      </x:c>
      <x:c r="J66" s="2" t="str">
        <x:v>Gemini</x:v>
      </x:c>
      <x:c r="K66" s="2" t="str">
        <x:v>Google Gemini service (version not disclosed)</x:v>
      </x:c>
      <x:c r="L66" s="2" t="str">
        <x:v>Closed</x:v>
      </x:c>
      <x:c r="M66" s="2" t="str">
        <x:v>Closed</x:v>
      </x:c>
      <x:c r="N66" s="6" t="str">
        <x:v>Reported in extraction</x:v>
      </x:c>
      <x:c r="O66" s="2" t="str">
        <x:v>Yes</x:v>
      </x:c>
      <x:c r="P66" s="2" t="str"/>
      <x:c r="Q66" s="2" t="str">
        <x:v>NR</x:v>
      </x:c>
      <x:c r="R66" s="2" t="str">
        <x:v>Gemini web service</x:v>
      </x:c>
      <x:c r="S66" s="2" t="str">
        <x:v>NR</x:v>
      </x:c>
      <x:c r="T66" s="2" t="str">
        <x:v>NR</x:v>
      </x:c>
      <x:c r="U66" s="2" t="str">
        <x:v>2024-05</x:v>
      </x:c>
      <x:c r="V66" s="2" t="str">
        <x:v>NR</x:v>
      </x:c>
      <x:c r="W66" s="2" t="str">
        <x:v>NR</x:v>
      </x:c>
      <x:c r="X66" s="2" t="str">
        <x:v>NR</x:v>
      </x:c>
      <x:c r="Y66" s="2" t="str">
        <x:v>NR</x:v>
      </x:c>
      <x:c r="Z66" s="2" t="str">
        <x:v>NR</x:v>
      </x:c>
      <x:c r="AA66" s="2" t="str">
        <x:v>No</x:v>
      </x:c>
      <x:c r="AB66" s="2" t="str">
        <x:v>No</x:v>
      </x:c>
      <x:c r="AC66" s="6" t="str">
        <x:v>p. 9; Evaluation section</x:v>
      </x:c>
      <x:c r="AD66" s="6" t="str">
        <x:v>We utilize five prominent AI models—Meta (based on tured prompting, and two to three times more with Meta Llama 3),5 Gemini (no version information structured prompting. Despite Claude and ChatGPT</x:v>
      </x:c>
    </x:row>
    <x:row r="67" ht="76" customHeight="1">
      <x:c r="A67" s="2" t="str">
        <x:v>S46</x:v>
      </x:c>
      <x:c r="B67" s="2" t="str">
        <x:v>2025</x:v>
      </x:c>
      <x:c r="C67" s="2" t="str">
        <x:v>Published</x:v>
      </x:c>
      <x:c r="D67" s="6" t="str">
        <x:v>Improving software development traceability with structured prompting</x:v>
      </x:c>
      <x:c r="E67" s="2" t="str">
        <x:v>S46-MU17</x:v>
      </x:c>
      <x:c r="F67" s="2" t="str">
        <x:v>S46-O07</x:v>
      </x:c>
      <x:c r="G67" s="2" t="str">
        <x:v>S46-T07</x:v>
      </x:c>
      <x:c r="H67" s="2" t="str">
        <x:v>Gemini</x:v>
      </x:c>
      <x:c r="I67" s="2" t="str">
        <x:v>Google Gemini service</x:v>
      </x:c>
      <x:c r="J67" s="2" t="str">
        <x:v>Gemini</x:v>
      </x:c>
      <x:c r="K67" s="2" t="str">
        <x:v>Google Gemini service (version not disclosed)</x:v>
      </x:c>
      <x:c r="L67" s="2" t="str">
        <x:v>Closed</x:v>
      </x:c>
      <x:c r="M67" s="2" t="str">
        <x:v>Closed</x:v>
      </x:c>
      <x:c r="N67" s="6" t="str">
        <x:v>Reported in extraction</x:v>
      </x:c>
      <x:c r="O67" s="2" t="str">
        <x:v>Yes</x:v>
      </x:c>
      <x:c r="P67" s="2" t="str"/>
      <x:c r="Q67" s="2" t="str">
        <x:v>NR</x:v>
      </x:c>
      <x:c r="R67" s="2" t="str">
        <x:v>Gemini web service</x:v>
      </x:c>
      <x:c r="S67" s="2" t="str">
        <x:v>NR</x:v>
      </x:c>
      <x:c r="T67" s="2" t="str">
        <x:v>NR</x:v>
      </x:c>
      <x:c r="U67" s="2" t="str">
        <x:v>2024-05</x:v>
      </x:c>
      <x:c r="V67" s="2" t="str">
        <x:v>NR</x:v>
      </x:c>
      <x:c r="W67" s="2" t="str">
        <x:v>NR</x:v>
      </x:c>
      <x:c r="X67" s="2" t="str">
        <x:v>NR</x:v>
      </x:c>
      <x:c r="Y67" s="2" t="str">
        <x:v>NR</x:v>
      </x:c>
      <x:c r="Z67" s="2" t="str">
        <x:v>NR</x:v>
      </x:c>
      <x:c r="AA67" s="2" t="str">
        <x:v>No</x:v>
      </x:c>
      <x:c r="AB67" s="2" t="str">
        <x:v>No</x:v>
      </x:c>
      <x:c r="AC67" s="6" t="str">
        <x:v>p. 9; Evaluation section</x:v>
      </x:c>
      <x:c r="AD67" s="6" t="str">
        <x:v>We utilize five prominent AI models—Meta (based on tured prompting, and two to three times more with Meta Llama 3),5 Gemini (no version information structured prompting. Despite Claude and ChatGPT</x:v>
      </x:c>
    </x:row>
    <x:row r="68" ht="76" customHeight="1">
      <x:c r="A68" s="2" t="str">
        <x:v>S46</x:v>
      </x:c>
      <x:c r="B68" s="2" t="str">
        <x:v>2025</x:v>
      </x:c>
      <x:c r="C68" s="2" t="str">
        <x:v>Published</x:v>
      </x:c>
      <x:c r="D68" s="6" t="str">
        <x:v>Improving software development traceability with structured prompting</x:v>
      </x:c>
      <x:c r="E68" s="2" t="str">
        <x:v>S46-MU18</x:v>
      </x:c>
      <x:c r="F68" s="2" t="str">
        <x:v>S46-O08</x:v>
      </x:c>
      <x:c r="G68" s="2" t="str">
        <x:v>S46-T08</x:v>
      </x:c>
      <x:c r="H68" s="2" t="str">
        <x:v>Gemini</x:v>
      </x:c>
      <x:c r="I68" s="2" t="str">
        <x:v>Google Gemini service</x:v>
      </x:c>
      <x:c r="J68" s="2" t="str">
        <x:v>Gemini</x:v>
      </x:c>
      <x:c r="K68" s="2" t="str">
        <x:v>Google Gemini service (version not disclosed)</x:v>
      </x:c>
      <x:c r="L68" s="2" t="str">
        <x:v>Closed</x:v>
      </x:c>
      <x:c r="M68" s="2" t="str">
        <x:v>Closed</x:v>
      </x:c>
      <x:c r="N68" s="6" t="str">
        <x:v>Reported in extraction</x:v>
      </x:c>
      <x:c r="O68" s="2" t="str">
        <x:v>Yes</x:v>
      </x:c>
      <x:c r="P68" s="2" t="str"/>
      <x:c r="Q68" s="2" t="str">
        <x:v>NR</x:v>
      </x:c>
      <x:c r="R68" s="2" t="str">
        <x:v>Gemini web service</x:v>
      </x:c>
      <x:c r="S68" s="2" t="str">
        <x:v>NR</x:v>
      </x:c>
      <x:c r="T68" s="2" t="str">
        <x:v>NR</x:v>
      </x:c>
      <x:c r="U68" s="2" t="str">
        <x:v>2024-05</x:v>
      </x:c>
      <x:c r="V68" s="2" t="str">
        <x:v>NR</x:v>
      </x:c>
      <x:c r="W68" s="2" t="str">
        <x:v>NR</x:v>
      </x:c>
      <x:c r="X68" s="2" t="str">
        <x:v>NR</x:v>
      </x:c>
      <x:c r="Y68" s="2" t="str">
        <x:v>NR</x:v>
      </x:c>
      <x:c r="Z68" s="2" t="str">
        <x:v>NR</x:v>
      </x:c>
      <x:c r="AA68" s="2" t="str">
        <x:v>No</x:v>
      </x:c>
      <x:c r="AB68" s="2" t="str">
        <x:v>No</x:v>
      </x:c>
      <x:c r="AC68" s="6" t="str">
        <x:v>p. 9; Evaluation section</x:v>
      </x:c>
      <x:c r="AD68" s="6" t="str">
        <x:v>We utilize five prominent AI models—Meta (based on tured prompting, and two to three times more with Meta Llama 3),5 Gemini (no version information structured prompting. Despite Claude and ChatGPT</x:v>
      </x:c>
    </x:row>
    <x:row r="69" ht="76" customHeight="1">
      <x:c r="A69" s="2" t="str">
        <x:v>S46</x:v>
      </x:c>
      <x:c r="B69" s="2" t="str">
        <x:v>2025</x:v>
      </x:c>
      <x:c r="C69" s="2" t="str">
        <x:v>Published</x:v>
      </x:c>
      <x:c r="D69" s="6" t="str">
        <x:v>Improving software development traceability with structured prompting</x:v>
      </x:c>
      <x:c r="E69" s="2" t="str">
        <x:v>S46-MU19</x:v>
      </x:c>
      <x:c r="F69" s="2" t="str">
        <x:v>S46-O09</x:v>
      </x:c>
      <x:c r="G69" s="2" t="str">
        <x:v>S46-T09</x:v>
      </x:c>
      <x:c r="H69" s="2" t="str">
        <x:v>Gemini</x:v>
      </x:c>
      <x:c r="I69" s="2" t="str">
        <x:v>Google Gemini service</x:v>
      </x:c>
      <x:c r="J69" s="2" t="str">
        <x:v>Gemini</x:v>
      </x:c>
      <x:c r="K69" s="2" t="str">
        <x:v>Google Gemini service (version not disclosed)</x:v>
      </x:c>
      <x:c r="L69" s="2" t="str">
        <x:v>Closed</x:v>
      </x:c>
      <x:c r="M69" s="2" t="str">
        <x:v>Closed</x:v>
      </x:c>
      <x:c r="N69" s="6" t="str">
        <x:v>Reported in extraction</x:v>
      </x:c>
      <x:c r="O69" s="2" t="str">
        <x:v>Yes</x:v>
      </x:c>
      <x:c r="P69" s="2" t="str"/>
      <x:c r="Q69" s="2" t="str">
        <x:v>NR</x:v>
      </x:c>
      <x:c r="R69" s="2" t="str">
        <x:v>Gemini web service</x:v>
      </x:c>
      <x:c r="S69" s="2" t="str">
        <x:v>NR</x:v>
      </x:c>
      <x:c r="T69" s="2" t="str">
        <x:v>NR</x:v>
      </x:c>
      <x:c r="U69" s="2" t="str">
        <x:v>2024-05</x:v>
      </x:c>
      <x:c r="V69" s="2" t="str">
        <x:v>NR</x:v>
      </x:c>
      <x:c r="W69" s="2" t="str">
        <x:v>NR</x:v>
      </x:c>
      <x:c r="X69" s="2" t="str">
        <x:v>NR</x:v>
      </x:c>
      <x:c r="Y69" s="2" t="str">
        <x:v>NR</x:v>
      </x:c>
      <x:c r="Z69" s="2" t="str">
        <x:v>NR</x:v>
      </x:c>
      <x:c r="AA69" s="2" t="str">
        <x:v>No</x:v>
      </x:c>
      <x:c r="AB69" s="2" t="str">
        <x:v>No</x:v>
      </x:c>
      <x:c r="AC69" s="6" t="str">
        <x:v>p. 9; Evaluation section</x:v>
      </x:c>
      <x:c r="AD69" s="6" t="str">
        <x:v>We utilize five prominent AI models—Meta (based on tured prompting, and two to three times more with Meta Llama 3),5 Gemini (no version information structured prompting. Despite Claude and ChatGPT</x:v>
      </x:c>
    </x:row>
    <x:row r="70" ht="76" customHeight="1">
      <x:c r="A70" s="2" t="str">
        <x:v>S46</x:v>
      </x:c>
      <x:c r="B70" s="2" t="str">
        <x:v>2025</x:v>
      </x:c>
      <x:c r="C70" s="2" t="str">
        <x:v>Published</x:v>
      </x:c>
      <x:c r="D70" s="6" t="str">
        <x:v>Improving software development traceability with structured prompting</x:v>
      </x:c>
      <x:c r="E70" s="2" t="str">
        <x:v>S46-MU20</x:v>
      </x:c>
      <x:c r="F70" s="2" t="str">
        <x:v>S46-O10</x:v>
      </x:c>
      <x:c r="G70" s="2" t="str">
        <x:v>S46-T10</x:v>
      </x:c>
      <x:c r="H70" s="2" t="str">
        <x:v>Gemini</x:v>
      </x:c>
      <x:c r="I70" s="2" t="str">
        <x:v>Google Gemini service</x:v>
      </x:c>
      <x:c r="J70" s="2" t="str">
        <x:v>Gemini</x:v>
      </x:c>
      <x:c r="K70" s="2" t="str">
        <x:v>Google Gemini service (version not disclosed)</x:v>
      </x:c>
      <x:c r="L70" s="2" t="str">
        <x:v>Closed</x:v>
      </x:c>
      <x:c r="M70" s="2" t="str">
        <x:v>Closed</x:v>
      </x:c>
      <x:c r="N70" s="6" t="str">
        <x:v>Reported in extraction</x:v>
      </x:c>
      <x:c r="O70" s="2" t="str">
        <x:v>Yes</x:v>
      </x:c>
      <x:c r="P70" s="2" t="str"/>
      <x:c r="Q70" s="2" t="str">
        <x:v>NR</x:v>
      </x:c>
      <x:c r="R70" s="2" t="str">
        <x:v>Gemini web service</x:v>
      </x:c>
      <x:c r="S70" s="2" t="str">
        <x:v>NR</x:v>
      </x:c>
      <x:c r="T70" s="2" t="str">
        <x:v>NR</x:v>
      </x:c>
      <x:c r="U70" s="2" t="str">
        <x:v>2024-05</x:v>
      </x:c>
      <x:c r="V70" s="2" t="str">
        <x:v>NR</x:v>
      </x:c>
      <x:c r="W70" s="2" t="str">
        <x:v>NR</x:v>
      </x:c>
      <x:c r="X70" s="2" t="str">
        <x:v>NR</x:v>
      </x:c>
      <x:c r="Y70" s="2" t="str">
        <x:v>NR</x:v>
      </x:c>
      <x:c r="Z70" s="2" t="str">
        <x:v>NR</x:v>
      </x:c>
      <x:c r="AA70" s="2" t="str">
        <x:v>No</x:v>
      </x:c>
      <x:c r="AB70" s="2" t="str">
        <x:v>No</x:v>
      </x:c>
      <x:c r="AC70" s="6" t="str">
        <x:v>p. 9; Evaluation section</x:v>
      </x:c>
      <x:c r="AD70" s="6" t="str">
        <x:v>We utilize five prominent AI models—Meta (based on tured prompting, and two to three times more with Meta Llama 3),5 Gemini (no version information structured prompting. Despite Claude and ChatGPT</x:v>
      </x:c>
    </x:row>
    <x:row r="71" ht="76" customHeight="1">
      <x:c r="A71" s="2" t="str">
        <x:v>S46</x:v>
      </x:c>
      <x:c r="B71" s="2" t="str">
        <x:v>2025</x:v>
      </x:c>
      <x:c r="C71" s="2" t="str">
        <x:v>Published</x:v>
      </x:c>
      <x:c r="D71" s="6" t="str">
        <x:v>Improving software development traceability with structured prompting</x:v>
      </x:c>
      <x:c r="E71" s="2" t="str">
        <x:v>S46-MU21</x:v>
      </x:c>
      <x:c r="F71" s="2" t="str">
        <x:v>S46-O01</x:v>
      </x:c>
      <x:c r="G71" s="2" t="str">
        <x:v>S46-T01</x:v>
      </x:c>
      <x:c r="H71" s="2" t="str">
        <x:v>Copilot</x:v>
      </x:c>
      <x:c r="I71" s="2" t="str">
        <x:v>GitHub Copilot service</x:v>
      </x:c>
      <x:c r="J71" s="2" t="str">
        <x:v>GitHub Copilot</x:v>
      </x:c>
      <x:c r="K71" s="2" t="str">
        <x:v>GitHub Copilot service (model not disclosed)</x:v>
      </x:c>
      <x:c r="L71" s="2" t="str">
        <x:v>Closed</x:v>
      </x:c>
      <x:c r="M71" s="2" t="str">
        <x:v>Closed</x:v>
      </x:c>
      <x:c r="N71" s="6" t="str">
        <x:v>Reported in extraction</x:v>
      </x:c>
      <x:c r="O71" s="2" t="str">
        <x:v>Yes</x:v>
      </x:c>
      <x:c r="P71" s="2" t="str"/>
      <x:c r="Q71" s="2" t="str">
        <x:v>NR</x:v>
      </x:c>
      <x:c r="R71" s="2" t="str">
        <x:v>GitHub Copilot service</x:v>
      </x:c>
      <x:c r="S71" s="2" t="str">
        <x:v>NR</x:v>
      </x:c>
      <x:c r="T71" s="2" t="str">
        <x:v>NR</x:v>
      </x:c>
      <x:c r="U71" s="2" t="str">
        <x:v>2024-05</x:v>
      </x:c>
      <x:c r="V71" s="2" t="str">
        <x:v>NR</x:v>
      </x:c>
      <x:c r="W71" s="2" t="str">
        <x:v>NR</x:v>
      </x:c>
      <x:c r="X71" s="2" t="str">
        <x:v>NR</x:v>
      </x:c>
      <x:c r="Y71" s="2" t="str">
        <x:v>NR</x:v>
      </x:c>
      <x:c r="Z71" s="2" t="str">
        <x:v>NR</x:v>
      </x:c>
      <x:c r="AA71" s="2" t="str">
        <x:v>No</x:v>
      </x:c>
      <x:c r="AB71" s="2" t="str">
        <x:v>No</x:v>
      </x:c>
      <x:c r="AC71" s="6" t="str">
        <x:v>p. 9; Evaluation section</x:v>
      </x:c>
      <x:c r="AD71" s="6" t="str">
        <x:v>We utilize five prominent AI models—Meta (based on tured prompting, and two to three times more with Meta Llama 3),5 Gemini (no version information structured prompting. Despite Claude and ChatGPT</x:v>
      </x:c>
    </x:row>
    <x:row r="72" ht="76" customHeight="1">
      <x:c r="A72" s="2" t="str">
        <x:v>S46</x:v>
      </x:c>
      <x:c r="B72" s="2" t="str">
        <x:v>2025</x:v>
      </x:c>
      <x:c r="C72" s="2" t="str">
        <x:v>Published</x:v>
      </x:c>
      <x:c r="D72" s="6" t="str">
        <x:v>Improving software development traceability with structured prompting</x:v>
      </x:c>
      <x:c r="E72" s="2" t="str">
        <x:v>S46-MU22</x:v>
      </x:c>
      <x:c r="F72" s="2" t="str">
        <x:v>S46-O02</x:v>
      </x:c>
      <x:c r="G72" s="2" t="str">
        <x:v>S46-T02</x:v>
      </x:c>
      <x:c r="H72" s="2" t="str">
        <x:v>Copilot</x:v>
      </x:c>
      <x:c r="I72" s="2" t="str">
        <x:v>GitHub Copilot service</x:v>
      </x:c>
      <x:c r="J72" s="2" t="str">
        <x:v>GitHub Copilot</x:v>
      </x:c>
      <x:c r="K72" s="2" t="str">
        <x:v>GitHub Copilot service (model not disclosed)</x:v>
      </x:c>
      <x:c r="L72" s="2" t="str">
        <x:v>Closed</x:v>
      </x:c>
      <x:c r="M72" s="2" t="str">
        <x:v>Closed</x:v>
      </x:c>
      <x:c r="N72" s="6" t="str">
        <x:v>Reported in extraction</x:v>
      </x:c>
      <x:c r="O72" s="2" t="str">
        <x:v>Yes</x:v>
      </x:c>
      <x:c r="P72" s="2" t="str"/>
      <x:c r="Q72" s="2" t="str">
        <x:v>NR</x:v>
      </x:c>
      <x:c r="R72" s="2" t="str">
        <x:v>GitHub Copilot service</x:v>
      </x:c>
      <x:c r="S72" s="2" t="str">
        <x:v>NR</x:v>
      </x:c>
      <x:c r="T72" s="2" t="str">
        <x:v>NR</x:v>
      </x:c>
      <x:c r="U72" s="2" t="str">
        <x:v>2024-05</x:v>
      </x:c>
      <x:c r="V72" s="2" t="str">
        <x:v>NR</x:v>
      </x:c>
      <x:c r="W72" s="2" t="str">
        <x:v>NR</x:v>
      </x:c>
      <x:c r="X72" s="2" t="str">
        <x:v>NR</x:v>
      </x:c>
      <x:c r="Y72" s="2" t="str">
        <x:v>NR</x:v>
      </x:c>
      <x:c r="Z72" s="2" t="str">
        <x:v>NR</x:v>
      </x:c>
      <x:c r="AA72" s="2" t="str">
        <x:v>No</x:v>
      </x:c>
      <x:c r="AB72" s="2" t="str">
        <x:v>No</x:v>
      </x:c>
      <x:c r="AC72" s="6" t="str">
        <x:v>p. 9; Evaluation section</x:v>
      </x:c>
      <x:c r="AD72" s="6" t="str">
        <x:v>We utilize five prominent AI models—Meta (based on tured prompting, and two to three times more with Meta Llama 3),5 Gemini (no version information structured prompting. Despite Claude and ChatGPT</x:v>
      </x:c>
    </x:row>
    <x:row r="73" ht="76" customHeight="1">
      <x:c r="A73" s="2" t="str">
        <x:v>S46</x:v>
      </x:c>
      <x:c r="B73" s="2" t="str">
        <x:v>2025</x:v>
      </x:c>
      <x:c r="C73" s="2" t="str">
        <x:v>Published</x:v>
      </x:c>
      <x:c r="D73" s="6" t="str">
        <x:v>Improving software development traceability with structured prompting</x:v>
      </x:c>
      <x:c r="E73" s="2" t="str">
        <x:v>S46-MU23</x:v>
      </x:c>
      <x:c r="F73" s="2" t="str">
        <x:v>S46-O03</x:v>
      </x:c>
      <x:c r="G73" s="2" t="str">
        <x:v>S46-T03</x:v>
      </x:c>
      <x:c r="H73" s="2" t="str">
        <x:v>Copilot</x:v>
      </x:c>
      <x:c r="I73" s="2" t="str">
        <x:v>GitHub Copilot service</x:v>
      </x:c>
      <x:c r="J73" s="2" t="str">
        <x:v>GitHub Copilot</x:v>
      </x:c>
      <x:c r="K73" s="2" t="str">
        <x:v>GitHub Copilot service (model not disclosed)</x:v>
      </x:c>
      <x:c r="L73" s="2" t="str">
        <x:v>Closed</x:v>
      </x:c>
      <x:c r="M73" s="2" t="str">
        <x:v>Closed</x:v>
      </x:c>
      <x:c r="N73" s="6" t="str">
        <x:v>Reported in extraction</x:v>
      </x:c>
      <x:c r="O73" s="2" t="str">
        <x:v>Yes</x:v>
      </x:c>
      <x:c r="P73" s="2" t="str"/>
      <x:c r="Q73" s="2" t="str">
        <x:v>NR</x:v>
      </x:c>
      <x:c r="R73" s="2" t="str">
        <x:v>GitHub Copilot service</x:v>
      </x:c>
      <x:c r="S73" s="2" t="str">
        <x:v>NR</x:v>
      </x:c>
      <x:c r="T73" s="2" t="str">
        <x:v>NR</x:v>
      </x:c>
      <x:c r="U73" s="2" t="str">
        <x:v>2024-05</x:v>
      </x:c>
      <x:c r="V73" s="2" t="str">
        <x:v>NR</x:v>
      </x:c>
      <x:c r="W73" s="2" t="str">
        <x:v>NR</x:v>
      </x:c>
      <x:c r="X73" s="2" t="str">
        <x:v>NR</x:v>
      </x:c>
      <x:c r="Y73" s="2" t="str">
        <x:v>NR</x:v>
      </x:c>
      <x:c r="Z73" s="2" t="str">
        <x:v>NR</x:v>
      </x:c>
      <x:c r="AA73" s="2" t="str">
        <x:v>No</x:v>
      </x:c>
      <x:c r="AB73" s="2" t="str">
        <x:v>No</x:v>
      </x:c>
      <x:c r="AC73" s="6" t="str">
        <x:v>p. 9; Evaluation section</x:v>
      </x:c>
      <x:c r="AD73" s="6" t="str">
        <x:v>We utilize five prominent AI models—Meta (based on tured prompting, and two to three times more with Meta Llama 3),5 Gemini (no version information structured prompting. Despite Claude and ChatGPT</x:v>
      </x:c>
    </x:row>
    <x:row r="74" ht="76" customHeight="1">
      <x:c r="A74" s="2" t="str">
        <x:v>S46</x:v>
      </x:c>
      <x:c r="B74" s="2" t="str">
        <x:v>2025</x:v>
      </x:c>
      <x:c r="C74" s="2" t="str">
        <x:v>Published</x:v>
      </x:c>
      <x:c r="D74" s="6" t="str">
        <x:v>Improving software development traceability with structured prompting</x:v>
      </x:c>
      <x:c r="E74" s="2" t="str">
        <x:v>S46-MU24</x:v>
      </x:c>
      <x:c r="F74" s="2" t="str">
        <x:v>S46-O04</x:v>
      </x:c>
      <x:c r="G74" s="2" t="str">
        <x:v>S46-T04</x:v>
      </x:c>
      <x:c r="H74" s="2" t="str">
        <x:v>Copilot</x:v>
      </x:c>
      <x:c r="I74" s="2" t="str">
        <x:v>GitHub Copilot service</x:v>
      </x:c>
      <x:c r="J74" s="2" t="str">
        <x:v>GitHub Copilot</x:v>
      </x:c>
      <x:c r="K74" s="2" t="str">
        <x:v>GitHub Copilot service (model not disclosed)</x:v>
      </x:c>
      <x:c r="L74" s="2" t="str">
        <x:v>Closed</x:v>
      </x:c>
      <x:c r="M74" s="2" t="str">
        <x:v>Closed</x:v>
      </x:c>
      <x:c r="N74" s="6" t="str">
        <x:v>Reported in extraction</x:v>
      </x:c>
      <x:c r="O74" s="2" t="str">
        <x:v>Yes</x:v>
      </x:c>
      <x:c r="P74" s="2" t="str"/>
      <x:c r="Q74" s="2" t="str">
        <x:v>NR</x:v>
      </x:c>
      <x:c r="R74" s="2" t="str">
        <x:v>GitHub Copilot service</x:v>
      </x:c>
      <x:c r="S74" s="2" t="str">
        <x:v>NR</x:v>
      </x:c>
      <x:c r="T74" s="2" t="str">
        <x:v>NR</x:v>
      </x:c>
      <x:c r="U74" s="2" t="str">
        <x:v>2024-05</x:v>
      </x:c>
      <x:c r="V74" s="2" t="str">
        <x:v>NR</x:v>
      </x:c>
      <x:c r="W74" s="2" t="str">
        <x:v>NR</x:v>
      </x:c>
      <x:c r="X74" s="2" t="str">
        <x:v>NR</x:v>
      </x:c>
      <x:c r="Y74" s="2" t="str">
        <x:v>NR</x:v>
      </x:c>
      <x:c r="Z74" s="2" t="str">
        <x:v>NR</x:v>
      </x:c>
      <x:c r="AA74" s="2" t="str">
        <x:v>No</x:v>
      </x:c>
      <x:c r="AB74" s="2" t="str">
        <x:v>No</x:v>
      </x:c>
      <x:c r="AC74" s="6" t="str">
        <x:v>p. 9; Evaluation section</x:v>
      </x:c>
      <x:c r="AD74" s="6" t="str">
        <x:v>We utilize five prominent AI models—Meta (based on tured prompting, and two to three times more with Meta Llama 3),5 Gemini (no version information structured prompting. Despite Claude and ChatGPT</x:v>
      </x:c>
    </x:row>
    <x:row r="75" ht="76" customHeight="1">
      <x:c r="A75" s="2" t="str">
        <x:v>S46</x:v>
      </x:c>
      <x:c r="B75" s="2" t="str">
        <x:v>2025</x:v>
      </x:c>
      <x:c r="C75" s="2" t="str">
        <x:v>Published</x:v>
      </x:c>
      <x:c r="D75" s="6" t="str">
        <x:v>Improving software development traceability with structured prompting</x:v>
      </x:c>
      <x:c r="E75" s="2" t="str">
        <x:v>S46-MU25</x:v>
      </x:c>
      <x:c r="F75" s="2" t="str">
        <x:v>S46-O05</x:v>
      </x:c>
      <x:c r="G75" s="2" t="str">
        <x:v>S46-T05</x:v>
      </x:c>
      <x:c r="H75" s="2" t="str">
        <x:v>Copilot</x:v>
      </x:c>
      <x:c r="I75" s="2" t="str">
        <x:v>GitHub Copilot service</x:v>
      </x:c>
      <x:c r="J75" s="2" t="str">
        <x:v>GitHub Copilot</x:v>
      </x:c>
      <x:c r="K75" s="2" t="str">
        <x:v>GitHub Copilot service (model not disclosed)</x:v>
      </x:c>
      <x:c r="L75" s="2" t="str">
        <x:v>Closed</x:v>
      </x:c>
      <x:c r="M75" s="2" t="str">
        <x:v>Closed</x:v>
      </x:c>
      <x:c r="N75" s="6" t="str">
        <x:v>Reported in extraction</x:v>
      </x:c>
      <x:c r="O75" s="2" t="str">
        <x:v>Yes</x:v>
      </x:c>
      <x:c r="P75" s="2" t="str"/>
      <x:c r="Q75" s="2" t="str">
        <x:v>NR</x:v>
      </x:c>
      <x:c r="R75" s="2" t="str">
        <x:v>GitHub Copilot service</x:v>
      </x:c>
      <x:c r="S75" s="2" t="str">
        <x:v>NR</x:v>
      </x:c>
      <x:c r="T75" s="2" t="str">
        <x:v>NR</x:v>
      </x:c>
      <x:c r="U75" s="2" t="str">
        <x:v>2024-05</x:v>
      </x:c>
      <x:c r="V75" s="2" t="str">
        <x:v>NR</x:v>
      </x:c>
      <x:c r="W75" s="2" t="str">
        <x:v>NR</x:v>
      </x:c>
      <x:c r="X75" s="2" t="str">
        <x:v>NR</x:v>
      </x:c>
      <x:c r="Y75" s="2" t="str">
        <x:v>NR</x:v>
      </x:c>
      <x:c r="Z75" s="2" t="str">
        <x:v>NR</x:v>
      </x:c>
      <x:c r="AA75" s="2" t="str">
        <x:v>No</x:v>
      </x:c>
      <x:c r="AB75" s="2" t="str">
        <x:v>No</x:v>
      </x:c>
      <x:c r="AC75" s="6" t="str">
        <x:v>p. 9; Evaluation section</x:v>
      </x:c>
      <x:c r="AD75" s="6" t="str">
        <x:v>We utilize five prominent AI models—Meta (based on tured prompting, and two to three times more with Meta Llama 3),5 Gemini (no version information structured prompting. Despite Claude and ChatGPT</x:v>
      </x:c>
    </x:row>
    <x:row r="76" ht="76" customHeight="1">
      <x:c r="A76" s="2" t="str">
        <x:v>S46</x:v>
      </x:c>
      <x:c r="B76" s="2" t="str">
        <x:v>2025</x:v>
      </x:c>
      <x:c r="C76" s="2" t="str">
        <x:v>Published</x:v>
      </x:c>
      <x:c r="D76" s="6" t="str">
        <x:v>Improving software development traceability with structured prompting</x:v>
      </x:c>
      <x:c r="E76" s="2" t="str">
        <x:v>S46-MU26</x:v>
      </x:c>
      <x:c r="F76" s="2" t="str">
        <x:v>S46-O06</x:v>
      </x:c>
      <x:c r="G76" s="2" t="str">
        <x:v>S46-T06</x:v>
      </x:c>
      <x:c r="H76" s="2" t="str">
        <x:v>Copilot</x:v>
      </x:c>
      <x:c r="I76" s="2" t="str">
        <x:v>GitHub Copilot service</x:v>
      </x:c>
      <x:c r="J76" s="2" t="str">
        <x:v>GitHub Copilot</x:v>
      </x:c>
      <x:c r="K76" s="2" t="str">
        <x:v>GitHub Copilot service (model not disclosed)</x:v>
      </x:c>
      <x:c r="L76" s="2" t="str">
        <x:v>Closed</x:v>
      </x:c>
      <x:c r="M76" s="2" t="str">
        <x:v>Closed</x:v>
      </x:c>
      <x:c r="N76" s="6" t="str">
        <x:v>Reported in extraction</x:v>
      </x:c>
      <x:c r="O76" s="2" t="str">
        <x:v>Yes</x:v>
      </x:c>
      <x:c r="P76" s="2" t="str"/>
      <x:c r="Q76" s="2" t="str">
        <x:v>NR</x:v>
      </x:c>
      <x:c r="R76" s="2" t="str">
        <x:v>GitHub Copilot service</x:v>
      </x:c>
      <x:c r="S76" s="2" t="str">
        <x:v>NR</x:v>
      </x:c>
      <x:c r="T76" s="2" t="str">
        <x:v>NR</x:v>
      </x:c>
      <x:c r="U76" s="2" t="str">
        <x:v>2024-05</x:v>
      </x:c>
      <x:c r="V76" s="2" t="str">
        <x:v>NR</x:v>
      </x:c>
      <x:c r="W76" s="2" t="str">
        <x:v>NR</x:v>
      </x:c>
      <x:c r="X76" s="2" t="str">
        <x:v>NR</x:v>
      </x:c>
      <x:c r="Y76" s="2" t="str">
        <x:v>NR</x:v>
      </x:c>
      <x:c r="Z76" s="2" t="str">
        <x:v>NR</x:v>
      </x:c>
      <x:c r="AA76" s="2" t="str">
        <x:v>No</x:v>
      </x:c>
      <x:c r="AB76" s="2" t="str">
        <x:v>No</x:v>
      </x:c>
      <x:c r="AC76" s="6" t="str">
        <x:v>p. 9; Evaluation section</x:v>
      </x:c>
      <x:c r="AD76" s="6" t="str">
        <x:v>We utilize five prominent AI models—Meta (based on tured prompting, and two to three times more with Meta Llama 3),5 Gemini (no version information structured prompting. Despite Claude and ChatGPT</x:v>
      </x:c>
    </x:row>
    <x:row r="77" ht="76" customHeight="1">
      <x:c r="A77" s="2" t="str">
        <x:v>S46</x:v>
      </x:c>
      <x:c r="B77" s="2" t="str">
        <x:v>2025</x:v>
      </x:c>
      <x:c r="C77" s="2" t="str">
        <x:v>Published</x:v>
      </x:c>
      <x:c r="D77" s="6" t="str">
        <x:v>Improving software development traceability with structured prompting</x:v>
      </x:c>
      <x:c r="E77" s="2" t="str">
        <x:v>S46-MU27</x:v>
      </x:c>
      <x:c r="F77" s="2" t="str">
        <x:v>S46-O07</x:v>
      </x:c>
      <x:c r="G77" s="2" t="str">
        <x:v>S46-T07</x:v>
      </x:c>
      <x:c r="H77" s="2" t="str">
        <x:v>Copilot</x:v>
      </x:c>
      <x:c r="I77" s="2" t="str">
        <x:v>GitHub Copilot service</x:v>
      </x:c>
      <x:c r="J77" s="2" t="str">
        <x:v>GitHub Copilot</x:v>
      </x:c>
      <x:c r="K77" s="2" t="str">
        <x:v>GitHub Copilot service (model not disclosed)</x:v>
      </x:c>
      <x:c r="L77" s="2" t="str">
        <x:v>Closed</x:v>
      </x:c>
      <x:c r="M77" s="2" t="str">
        <x:v>Closed</x:v>
      </x:c>
      <x:c r="N77" s="6" t="str">
        <x:v>Reported in extraction</x:v>
      </x:c>
      <x:c r="O77" s="2" t="str">
        <x:v>Yes</x:v>
      </x:c>
      <x:c r="P77" s="2" t="str"/>
      <x:c r="Q77" s="2" t="str">
        <x:v>NR</x:v>
      </x:c>
      <x:c r="R77" s="2" t="str">
        <x:v>GitHub Copilot service</x:v>
      </x:c>
      <x:c r="S77" s="2" t="str">
        <x:v>NR</x:v>
      </x:c>
      <x:c r="T77" s="2" t="str">
        <x:v>NR</x:v>
      </x:c>
      <x:c r="U77" s="2" t="str">
        <x:v>2024-05</x:v>
      </x:c>
      <x:c r="V77" s="2" t="str">
        <x:v>NR</x:v>
      </x:c>
      <x:c r="W77" s="2" t="str">
        <x:v>NR</x:v>
      </x:c>
      <x:c r="X77" s="2" t="str">
        <x:v>NR</x:v>
      </x:c>
      <x:c r="Y77" s="2" t="str">
        <x:v>NR</x:v>
      </x:c>
      <x:c r="Z77" s="2" t="str">
        <x:v>NR</x:v>
      </x:c>
      <x:c r="AA77" s="2" t="str">
        <x:v>No</x:v>
      </x:c>
      <x:c r="AB77" s="2" t="str">
        <x:v>No</x:v>
      </x:c>
      <x:c r="AC77" s="6" t="str">
        <x:v>p. 9; Evaluation section</x:v>
      </x:c>
      <x:c r="AD77" s="6" t="str">
        <x:v>We utilize five prominent AI models—Meta (based on tured prompting, and two to three times more with Meta Llama 3),5 Gemini (no version information structured prompting. Despite Claude and ChatGPT</x:v>
      </x:c>
    </x:row>
    <x:row r="78" ht="76" customHeight="1">
      <x:c r="A78" s="2" t="str">
        <x:v>S46</x:v>
      </x:c>
      <x:c r="B78" s="2" t="str">
        <x:v>2025</x:v>
      </x:c>
      <x:c r="C78" s="2" t="str">
        <x:v>Published</x:v>
      </x:c>
      <x:c r="D78" s="6" t="str">
        <x:v>Improving software development traceability with structured prompting</x:v>
      </x:c>
      <x:c r="E78" s="2" t="str">
        <x:v>S46-MU28</x:v>
      </x:c>
      <x:c r="F78" s="2" t="str">
        <x:v>S46-O08</x:v>
      </x:c>
      <x:c r="G78" s="2" t="str">
        <x:v>S46-T08</x:v>
      </x:c>
      <x:c r="H78" s="2" t="str">
        <x:v>Copilot</x:v>
      </x:c>
      <x:c r="I78" s="2" t="str">
        <x:v>GitHub Copilot service</x:v>
      </x:c>
      <x:c r="J78" s="2" t="str">
        <x:v>GitHub Copilot</x:v>
      </x:c>
      <x:c r="K78" s="2" t="str">
        <x:v>GitHub Copilot service (model not disclosed)</x:v>
      </x:c>
      <x:c r="L78" s="2" t="str">
        <x:v>Closed</x:v>
      </x:c>
      <x:c r="M78" s="2" t="str">
        <x:v>Closed</x:v>
      </x:c>
      <x:c r="N78" s="6" t="str">
        <x:v>Reported in extraction</x:v>
      </x:c>
      <x:c r="O78" s="2" t="str">
        <x:v>Yes</x:v>
      </x:c>
      <x:c r="P78" s="2" t="str"/>
      <x:c r="Q78" s="2" t="str">
        <x:v>NR</x:v>
      </x:c>
      <x:c r="R78" s="2" t="str">
        <x:v>GitHub Copilot service</x:v>
      </x:c>
      <x:c r="S78" s="2" t="str">
        <x:v>NR</x:v>
      </x:c>
      <x:c r="T78" s="2" t="str">
        <x:v>NR</x:v>
      </x:c>
      <x:c r="U78" s="2" t="str">
        <x:v>2024-05</x:v>
      </x:c>
      <x:c r="V78" s="2" t="str">
        <x:v>NR</x:v>
      </x:c>
      <x:c r="W78" s="2" t="str">
        <x:v>NR</x:v>
      </x:c>
      <x:c r="X78" s="2" t="str">
        <x:v>NR</x:v>
      </x:c>
      <x:c r="Y78" s="2" t="str">
        <x:v>NR</x:v>
      </x:c>
      <x:c r="Z78" s="2" t="str">
        <x:v>NR</x:v>
      </x:c>
      <x:c r="AA78" s="2" t="str">
        <x:v>No</x:v>
      </x:c>
      <x:c r="AB78" s="2" t="str">
        <x:v>No</x:v>
      </x:c>
      <x:c r="AC78" s="6" t="str">
        <x:v>p. 9; Evaluation section</x:v>
      </x:c>
      <x:c r="AD78" s="6" t="str">
        <x:v>We utilize five prominent AI models—Meta (based on tured prompting, and two to three times more with Meta Llama 3),5 Gemini (no version information structured prompting. Despite Claude and ChatGPT</x:v>
      </x:c>
    </x:row>
    <x:row r="79" ht="76" customHeight="1">
      <x:c r="A79" s="2" t="str">
        <x:v>S46</x:v>
      </x:c>
      <x:c r="B79" s="2" t="str">
        <x:v>2025</x:v>
      </x:c>
      <x:c r="C79" s="2" t="str">
        <x:v>Published</x:v>
      </x:c>
      <x:c r="D79" s="6" t="str">
        <x:v>Improving software development traceability with structured prompting</x:v>
      </x:c>
      <x:c r="E79" s="2" t="str">
        <x:v>S46-MU29</x:v>
      </x:c>
      <x:c r="F79" s="2" t="str">
        <x:v>S46-O09</x:v>
      </x:c>
      <x:c r="G79" s="2" t="str">
        <x:v>S46-T09</x:v>
      </x:c>
      <x:c r="H79" s="2" t="str">
        <x:v>Copilot</x:v>
      </x:c>
      <x:c r="I79" s="2" t="str">
        <x:v>GitHub Copilot service</x:v>
      </x:c>
      <x:c r="J79" s="2" t="str">
        <x:v>GitHub Copilot</x:v>
      </x:c>
      <x:c r="K79" s="2" t="str">
        <x:v>GitHub Copilot service (model not disclosed)</x:v>
      </x:c>
      <x:c r="L79" s="2" t="str">
        <x:v>Closed</x:v>
      </x:c>
      <x:c r="M79" s="2" t="str">
        <x:v>Closed</x:v>
      </x:c>
      <x:c r="N79" s="6" t="str">
        <x:v>Reported in extraction</x:v>
      </x:c>
      <x:c r="O79" s="2" t="str">
        <x:v>Yes</x:v>
      </x:c>
      <x:c r="P79" s="2" t="str"/>
      <x:c r="Q79" s="2" t="str">
        <x:v>NR</x:v>
      </x:c>
      <x:c r="R79" s="2" t="str">
        <x:v>GitHub Copilot service</x:v>
      </x:c>
      <x:c r="S79" s="2" t="str">
        <x:v>NR</x:v>
      </x:c>
      <x:c r="T79" s="2" t="str">
        <x:v>NR</x:v>
      </x:c>
      <x:c r="U79" s="2" t="str">
        <x:v>2024-05</x:v>
      </x:c>
      <x:c r="V79" s="2" t="str">
        <x:v>NR</x:v>
      </x:c>
      <x:c r="W79" s="2" t="str">
        <x:v>NR</x:v>
      </x:c>
      <x:c r="X79" s="2" t="str">
        <x:v>NR</x:v>
      </x:c>
      <x:c r="Y79" s="2" t="str">
        <x:v>NR</x:v>
      </x:c>
      <x:c r="Z79" s="2" t="str">
        <x:v>NR</x:v>
      </x:c>
      <x:c r="AA79" s="2" t="str">
        <x:v>No</x:v>
      </x:c>
      <x:c r="AB79" s="2" t="str">
        <x:v>No</x:v>
      </x:c>
      <x:c r="AC79" s="6" t="str">
        <x:v>p. 9; Evaluation section</x:v>
      </x:c>
      <x:c r="AD79" s="6" t="str">
        <x:v>We utilize five prominent AI models—Meta (based on tured prompting, and two to three times more with Meta Llama 3),5 Gemini (no version information structured prompting. Despite Claude and ChatGPT</x:v>
      </x:c>
    </x:row>
    <x:row r="80" ht="76" customHeight="1">
      <x:c r="A80" s="2" t="str">
        <x:v>S46</x:v>
      </x:c>
      <x:c r="B80" s="2" t="str">
        <x:v>2025</x:v>
      </x:c>
      <x:c r="C80" s="2" t="str">
        <x:v>Published</x:v>
      </x:c>
      <x:c r="D80" s="6" t="str">
        <x:v>Improving software development traceability with structured prompting</x:v>
      </x:c>
      <x:c r="E80" s="2" t="str">
        <x:v>S46-MU30</x:v>
      </x:c>
      <x:c r="F80" s="2" t="str">
        <x:v>S46-O10</x:v>
      </x:c>
      <x:c r="G80" s="2" t="str">
        <x:v>S46-T10</x:v>
      </x:c>
      <x:c r="H80" s="2" t="str">
        <x:v>Copilot</x:v>
      </x:c>
      <x:c r="I80" s="2" t="str">
        <x:v>GitHub Copilot service</x:v>
      </x:c>
      <x:c r="J80" s="2" t="str">
        <x:v>GitHub Copilot</x:v>
      </x:c>
      <x:c r="K80" s="2" t="str">
        <x:v>GitHub Copilot service (model not disclosed)</x:v>
      </x:c>
      <x:c r="L80" s="2" t="str">
        <x:v>Closed</x:v>
      </x:c>
      <x:c r="M80" s="2" t="str">
        <x:v>Closed</x:v>
      </x:c>
      <x:c r="N80" s="6" t="str">
        <x:v>Reported in extraction</x:v>
      </x:c>
      <x:c r="O80" s="2" t="str">
        <x:v>Yes</x:v>
      </x:c>
      <x:c r="P80" s="2" t="str"/>
      <x:c r="Q80" s="2" t="str">
        <x:v>NR</x:v>
      </x:c>
      <x:c r="R80" s="2" t="str">
        <x:v>GitHub Copilot service</x:v>
      </x:c>
      <x:c r="S80" s="2" t="str">
        <x:v>NR</x:v>
      </x:c>
      <x:c r="T80" s="2" t="str">
        <x:v>NR</x:v>
      </x:c>
      <x:c r="U80" s="2" t="str">
        <x:v>2024-05</x:v>
      </x:c>
      <x:c r="V80" s="2" t="str">
        <x:v>NR</x:v>
      </x:c>
      <x:c r="W80" s="2" t="str">
        <x:v>NR</x:v>
      </x:c>
      <x:c r="X80" s="2" t="str">
        <x:v>NR</x:v>
      </x:c>
      <x:c r="Y80" s="2" t="str">
        <x:v>NR</x:v>
      </x:c>
      <x:c r="Z80" s="2" t="str">
        <x:v>NR</x:v>
      </x:c>
      <x:c r="AA80" s="2" t="str">
        <x:v>No</x:v>
      </x:c>
      <x:c r="AB80" s="2" t="str">
        <x:v>No</x:v>
      </x:c>
      <x:c r="AC80" s="6" t="str">
        <x:v>p. 9; Evaluation section</x:v>
      </x:c>
      <x:c r="AD80" s="6" t="str">
        <x:v>We utilize five prominent AI models—Meta (based on tured prompting, and two to three times more with Meta Llama 3),5 Gemini (no version information structured prompting. Despite Claude and ChatGPT</x:v>
      </x:c>
    </x:row>
    <x:row r="81" ht="76" customHeight="1">
      <x:c r="A81" s="2" t="str">
        <x:v>S07</x:v>
      </x:c>
      <x:c r="B81" s="2" t="str">
        <x:v>2026</x:v>
      </x:c>
      <x:c r="C81" s="2" t="str">
        <x:v>Published</x:v>
      </x:c>
      <x:c r="D81" s="6" t="str">
        <x:v>REST-at: An LLM-Based Tool for Automating Traceability between Requirements and Test Cases</x:v>
      </x:c>
      <x:c r="E81" s="2" t="str">
        <x:v>S07-MU01</x:v>
      </x:c>
      <x:c r="F81" s="2" t="str">
        <x:v>S07-O01</x:v>
      </x:c>
      <x:c r="G81" s="2" t="str">
        <x:v>S07-T01</x:v>
      </x:c>
      <x:c r="H81" s="2" t="str">
        <x:v>GPT-3.5</x:v>
      </x:c>
      <x:c r="I81" s="2" t="str">
        <x:v>gpt-3.5</x:v>
      </x:c>
      <x:c r="J81" s="2" t="str">
        <x:v>GPT</x:v>
      </x:c>
      <x:c r="K81" s="2" t="str">
        <x:v>GPT-3.5</x:v>
      </x:c>
      <x:c r="L81" s="2" t="str">
        <x:v>Closed</x:v>
      </x:c>
      <x:c r="M81" s="2" t="str">
        <x:v>Closed</x:v>
      </x:c>
      <x:c r="N81" s="6" t="str">
        <x:v>Reported in extraction</x:v>
      </x:c>
      <x:c r="O81" s="2" t="str">
        <x:v>Yes</x:v>
      </x:c>
      <x:c r="P81" s="2" t="str"/>
      <x:c r="Q81" s="2" t="str">
        <x:v>API</x:v>
      </x:c>
      <x:c r="R81" s="2" t="str">
        <x:v>API calls to OpenAI</x:v>
      </x:c>
      <x:c r="S81" s="2" t="str">
        <x:v>Unclear</x:v>
      </x:c>
      <x:c r="T81" s="2" t="str">
        <x:v>175B</x:v>
      </x:c>
      <x:c r="U81" s="2" t="str">
        <x:v>2024-05 to 2024-07</x:v>
      </x:c>
      <x:c r="V81" s="2" t="n">
        <x:v>0.1</x:v>
      </x:c>
      <x:c r="W81" s="2" t="str">
        <x:v>NR</x:v>
      </x:c>
      <x:c r="X81" s="2" t="n">
        <x:v>30</x:v>
      </x:c>
      <x:c r="Y81" s="2" t="str">
        <x:v>NR</x:v>
      </x:c>
      <x:c r="Z81" s="2" t="str">
        <x:v>NR</x:v>
      </x:c>
      <x:c r="AA81" s="2" t="str">
        <x:v>Yes</x:v>
      </x:c>
      <x:c r="AB81" s="2" t="str">
        <x:v>No</x:v>
      </x:c>
      <x:c r="AC81" s="6" t="str">
        <x:v>p. 2; Introduction</x:v>
      </x:c>
      <x:c r="AD81" s="6" t="str">
        <x:v>GPT-3.5 (175B parameters [5])</x:v>
      </x:c>
    </x:row>
    <x:row r="82" ht="76" customHeight="1">
      <x:c r="A82" s="2" t="str">
        <x:v>S44</x:v>
      </x:c>
      <x:c r="B82" s="2" t="str">
        <x:v>2025</x:v>
      </x:c>
      <x:c r="C82" s="2" t="str">
        <x:v>Published</x:v>
      </x:c>
      <x:c r="D82" s="6" t="str">
        <x:v>Enhancing Requirement-to-Code Traceability via Chain-of-Thought Prompting in Large Language Models</x:v>
      </x:c>
      <x:c r="E82" s="2" t="str">
        <x:v>S44-MU01</x:v>
      </x:c>
      <x:c r="F82" s="2" t="str">
        <x:v>S44-O01</x:v>
      </x:c>
      <x:c r="G82" s="2" t="str">
        <x:v>S44-T01</x:v>
      </x:c>
      <x:c r="H82" s="2" t="str">
        <x:v>GPT-3.5</x:v>
      </x:c>
      <x:c r="I82" s="2" t="str">
        <x:v>gpt-3.5</x:v>
      </x:c>
      <x:c r="J82" s="2" t="str">
        <x:v>GPT</x:v>
      </x:c>
      <x:c r="K82" s="2" t="str">
        <x:v>GPT-3.5</x:v>
      </x:c>
      <x:c r="L82" s="2" t="str">
        <x:v>Closed</x:v>
      </x:c>
      <x:c r="M82" s="2" t="str">
        <x:v>Closed</x:v>
      </x:c>
      <x:c r="N82" s="6" t="str">
        <x:v>Reported in extraction</x:v>
      </x:c>
      <x:c r="O82" s="2" t="str">
        <x:v>Yes</x:v>
      </x:c>
      <x:c r="P82" s="2" t="str"/>
      <x:c r="Q82" s="2" t="str">
        <x:v>API</x:v>
      </x:c>
      <x:c r="R82" s="2" t="str">
        <x:v>API</x:v>
      </x:c>
      <x:c r="S82" s="2" t="str">
        <x:v>Unclear</x:v>
      </x:c>
      <x:c r="T82" s="2" t="str">
        <x:v>NR</x:v>
      </x:c>
      <x:c r="U82" s="2" t="str">
        <x:v>NR</x:v>
      </x:c>
      <x:c r="V82" s="2" t="str">
        <x:v>NR</x:v>
      </x:c>
      <x:c r="W82" s="2" t="str">
        <x:v>NR</x:v>
      </x:c>
      <x:c r="X82" s="2" t="str">
        <x:v>NR</x:v>
      </x:c>
      <x:c r="Y82" s="2" t="str">
        <x:v>NR</x:v>
      </x:c>
      <x:c r="Z82" s="2" t="str">
        <x:v>NR</x:v>
      </x:c>
      <x:c r="AA82" s="2" t="str">
        <x:v>Yes</x:v>
      </x:c>
      <x:c r="AB82" s="2" t="str">
        <x:v>No</x:v>
      </x:c>
      <x:c r="AC82" s="6" t="str">
        <x:v>p. 2; B. Preprocessing</x:v>
      </x:c>
      <x:c r="AD82" s="6" t="str">
        <x:v>non-English requirements were translated into English using GPT-3.5</x:v>
      </x:c>
    </x:row>
    <x:row r="83" ht="76" customHeight="1">
      <x:c r="A83" s="2" t="str">
        <x:v>S44</x:v>
      </x:c>
      <x:c r="B83" s="2" t="str">
        <x:v>2025</x:v>
      </x:c>
      <x:c r="C83" s="2" t="str">
        <x:v>Published</x:v>
      </x:c>
      <x:c r="D83" s="6" t="str">
        <x:v>Enhancing Requirement-to-Code Traceability via Chain-of-Thought Prompting in Large Language Models</x:v>
      </x:c>
      <x:c r="E83" s="2" t="str">
        <x:v>S44-MU02</x:v>
      </x:c>
      <x:c r="F83" s="2" t="str">
        <x:v>S44-O02</x:v>
      </x:c>
      <x:c r="G83" s="2" t="str">
        <x:v>S44-T01</x:v>
      </x:c>
      <x:c r="H83" s="2" t="str">
        <x:v>GPT-3.5</x:v>
      </x:c>
      <x:c r="I83" s="2" t="str">
        <x:v>gpt-3.5</x:v>
      </x:c>
      <x:c r="J83" s="2" t="str">
        <x:v>GPT</x:v>
      </x:c>
      <x:c r="K83" s="2" t="str">
        <x:v>GPT-3.5</x:v>
      </x:c>
      <x:c r="L83" s="2" t="str">
        <x:v>Closed</x:v>
      </x:c>
      <x:c r="M83" s="2" t="str">
        <x:v>Closed</x:v>
      </x:c>
      <x:c r="N83" s="6" t="str">
        <x:v>Reported in extraction</x:v>
      </x:c>
      <x:c r="O83" s="2" t="str">
        <x:v>Yes</x:v>
      </x:c>
      <x:c r="P83" s="2" t="str"/>
      <x:c r="Q83" s="2" t="str">
        <x:v>API</x:v>
      </x:c>
      <x:c r="R83" s="2" t="str">
        <x:v>API</x:v>
      </x:c>
      <x:c r="S83" s="2" t="str">
        <x:v>Unclear</x:v>
      </x:c>
      <x:c r="T83" s="2" t="str">
        <x:v>NR</x:v>
      </x:c>
      <x:c r="U83" s="2" t="str">
        <x:v>NR</x:v>
      </x:c>
      <x:c r="V83" s="2" t="str">
        <x:v>NR</x:v>
      </x:c>
      <x:c r="W83" s="2" t="str">
        <x:v>NR</x:v>
      </x:c>
      <x:c r="X83" s="2" t="str">
        <x:v>NR</x:v>
      </x:c>
      <x:c r="Y83" s="2" t="str">
        <x:v>NR</x:v>
      </x:c>
      <x:c r="Z83" s="2" t="str">
        <x:v>NR</x:v>
      </x:c>
      <x:c r="AA83" s="2" t="str">
        <x:v>Yes</x:v>
      </x:c>
      <x:c r="AB83" s="2" t="str">
        <x:v>No</x:v>
      </x:c>
      <x:c r="AC83" s="6" t="str">
        <x:v>p. 2; C. Prompt Design</x:v>
      </x:c>
      <x:c r="AD83" s="6" t="str">
        <x:v>3.5) ﬁrst determines the programming language, as syn- tax differences affect subsequent parsing and analysis.</x:v>
      </x:c>
    </x:row>
    <x:row r="84" ht="76" customHeight="1">
      <x:c r="A84" s="2" t="str">
        <x:v>S02</x:v>
      </x:c>
      <x:c r="B84" s="2" t="str">
        <x:v>2026</x:v>
      </x:c>
      <x:c r="C84" s="2" t="str">
        <x:v>Published</x:v>
      </x:c>
      <x:c r="D84" s="6" t="str">
        <x:v>Who's Who? LLM-assisted Software Traceability with Architecture Entity Recognition</x:v>
      </x:c>
      <x:c r="E84" s="2" t="str">
        <x:v>S02-MU05</x:v>
      </x:c>
      <x:c r="F84" s="2" t="str">
        <x:v>S02-O01</x:v>
      </x:c>
      <x:c r="G84" s="2" t="str">
        <x:v>S02-T01</x:v>
      </x:c>
      <x:c r="H84" s="2" t="str">
        <x:v>GPT-3.5 Turbo</x:v>
      </x:c>
      <x:c r="I84" s="2" t="str">
        <x:v>GPT-3.5 Turbo</x:v>
      </x:c>
      <x:c r="J84" s="2" t="str">
        <x:v>GPT</x:v>
      </x:c>
      <x:c r="K84" s="2" t="str">
        <x:v>GPT-3.5 Turbo</x:v>
      </x:c>
      <x:c r="L84" s="2" t="str">
        <x:v>Closed</x:v>
      </x:c>
      <x:c r="M84" s="2" t="str">
        <x:v>Closed</x:v>
      </x:c>
      <x:c r="N84" s="6" t="str">
        <x:v>Reported in extraction</x:v>
      </x:c>
      <x:c r="O84" s="2" t="str">
        <x:v>Yes</x:v>
      </x:c>
      <x:c r="P84" s="2" t="str"/>
      <x:c r="Q84" s="2" t="str">
        <x:v>API</x:v>
      </x:c>
      <x:c r="R84" s="2" t="str">
        <x:v>NR</x:v>
      </x:c>
      <x:c r="S84" s="2" t="str">
        <x:v>NR</x:v>
      </x:c>
      <x:c r="T84" s="2" t="str">
        <x:v>NR</x:v>
      </x:c>
      <x:c r="U84" s="2" t="str">
        <x:v>NR</x:v>
      </x:c>
      <x:c r="V84" s="2" t="n">
        <x:v>0</x:v>
      </x:c>
      <x:c r="W84" s="2" t="str">
        <x:v>NR</x:v>
      </x:c>
      <x:c r="X84" s="2" t="n">
        <x:v>1</x:v>
      </x:c>
      <x:c r="Y84" s="2" t="str">
        <x:v>NR</x:v>
      </x:c>
      <x:c r="Z84" s="2" t="str">
        <x:v>NR</x:v>
      </x:c>
      <x:c r="AA84" s="2" t="str">
        <x:v>No</x:v>
      </x:c>
      <x:c r="AB84" s="2" t="str">
        <x:v>No</x:v>
      </x:c>
      <x:c r="AC84" s="6" t="str">
        <x:v>p. 10; Section 5.1; Section 5.5</x:v>
      </x:c>
      <x:c r="AD84" s="6" t="str">
        <x:v>mini, GPT-4o, GPT-4 Turbo, GPT-4, and GPT-3.5 Turbo. As local models, we use Codellama 13b, Meta AI Llama 3.1 8b, and Meta AI Llama 3.1 70b.</x:v>
      </x:c>
    </x:row>
    <x:row r="85" ht="76" customHeight="1">
      <x:c r="A85" s="2" t="str">
        <x:v>S04</x:v>
      </x:c>
      <x:c r="B85" s="2" t="str">
        <x:v>2024</x:v>
      </x:c>
      <x:c r="C85" s="2" t="str">
        <x:v>Published</x:v>
      </x:c>
      <x:c r="D85" s="6" t="str">
        <x:v>An LLM-based Approach to Recover Traceability Links between Security Requirements and Goal Models</x:v>
      </x:c>
      <x:c r="E85" s="2" t="str">
        <x:v>S04-MU01</x:v>
      </x:c>
      <x:c r="F85" s="2" t="str">
        <x:v>S04-O01</x:v>
      </x:c>
      <x:c r="G85" s="2" t="str">
        <x:v>S04-T01</x:v>
      </x:c>
      <x:c r="H85" s="2" t="str">
        <x:v>GPT-3.5-turbo</x:v>
      </x:c>
      <x:c r="I85" s="2" t="str">
        <x:v>gpt-3.5-turbo</x:v>
      </x:c>
      <x:c r="J85" s="2" t="str">
        <x:v>GPT</x:v>
      </x:c>
      <x:c r="K85" s="2" t="str">
        <x:v>GPT-3.5 Turbo</x:v>
      </x:c>
      <x:c r="L85" s="2" t="str">
        <x:v>Closed</x:v>
      </x:c>
      <x:c r="M85" s="2" t="str">
        <x:v>Closed</x:v>
      </x:c>
      <x:c r="N85" s="6" t="str">
        <x:v>Reported in extraction</x:v>
      </x:c>
      <x:c r="O85" s="2" t="str">
        <x:v>Yes</x:v>
      </x:c>
      <x:c r="P85" s="2" t="str"/>
      <x:c r="Q85" s="2" t="str">
        <x:v>API</x:v>
      </x:c>
      <x:c r="R85" s="2" t="str">
        <x:v>NR</x:v>
      </x:c>
      <x:c r="S85" s="2" t="str">
        <x:v>NR</x:v>
      </x:c>
      <x:c r="T85" s="2" t="str">
        <x:v>NR</x:v>
      </x:c>
      <x:c r="U85" s="2" t="str">
        <x:v>Unclear</x:v>
      </x:c>
      <x:c r="V85" s="2" t="n">
        <x:v>0.2</x:v>
      </x:c>
      <x:c r="W85" s="2" t="str">
        <x:v>NR</x:v>
      </x:c>
      <x:c r="X85" s="2" t="str">
        <x:v>NR</x:v>
      </x:c>
      <x:c r="Y85" s="2" t="str">
        <x:v>NR</x:v>
      </x:c>
      <x:c r="Z85" s="2" t="str">
        <x:v>NR</x:v>
      </x:c>
      <x:c r="AA85" s="2" t="str">
        <x:v>No</x:v>
      </x:c>
      <x:c r="AB85" s="2" t="str">
        <x:v>No</x:v>
      </x:c>
      <x:c r="AC85" s="6" t="str">
        <x:v>p. 5; Section 4</x:v>
      </x:c>
      <x:c r="AD85" s="6" t="str">
        <x:v>We have used a temperature value of 0.2 to ensure that GPT-3.5- turbo responses are highly conservative and closely adhere to the</x:v>
      </x:c>
    </x:row>
    <x:row r="86" ht="76" customHeight="1">
      <x:c r="A86" s="2" t="str">
        <x:v>S08</x:v>
      </x:c>
      <x:c r="B86" s="2" t="str">
        <x:v>2024</x:v>
      </x:c>
      <x:c r="C86" s="2" t="str">
        <x:v>Published</x:v>
      </x:c>
      <x:c r="D86" s="6" t="str">
        <x:v>Supporting High-Level to Low-Level Requirements Coverage Reviewing with Large Language Models</x:v>
      </x:c>
      <x:c r="E86" s="2" t="str">
        <x:v>S08-MU01</x:v>
      </x:c>
      <x:c r="F86" s="2" t="str">
        <x:v>S08-O01</x:v>
      </x:c>
      <x:c r="G86" s="2" t="str">
        <x:v>S08-T01</x:v>
      </x:c>
      <x:c r="H86" s="2" t="str">
        <x:v>GPT-3.5</x:v>
      </x:c>
      <x:c r="I86" s="2" t="str">
        <x:v>GPT-3.5</x:v>
      </x:c>
      <x:c r="J86" s="2" t="str">
        <x:v>GPT</x:v>
      </x:c>
      <x:c r="K86" s="2" t="str">
        <x:v>GPT-3.5 Turbo</x:v>
      </x:c>
      <x:c r="L86" s="2" t="str">
        <x:v>Closed</x:v>
      </x:c>
      <x:c r="M86" s="2" t="str">
        <x:v>Closed</x:v>
      </x:c>
      <x:c r="N86" s="6" t="str">
        <x:v>Reported in extraction</x:v>
      </x:c>
      <x:c r="O86" s="2" t="str">
        <x:v>Yes</x:v>
      </x:c>
      <x:c r="P86" s="2" t="str"/>
      <x:c r="Q86" s="2" t="str">
        <x:v>API</x:v>
      </x:c>
      <x:c r="R86" s="2" t="str">
        <x:v>OpenAI API</x:v>
      </x:c>
      <x:c r="S86" s="2" t="str">
        <x:v>turbo-16k</x:v>
      </x:c>
      <x:c r="T86" s="2" t="str">
        <x:v>NR</x:v>
      </x:c>
      <x:c r="U86" s="2" t="str">
        <x:v>NR</x:v>
      </x:c>
      <x:c r="V86" s="2" t="n">
        <x:v>0</x:v>
      </x:c>
      <x:c r="W86" s="2" t="str">
        <x:v>NR</x:v>
      </x:c>
      <x:c r="X86" s="2" t="str">
        <x:v>NR</x:v>
      </x:c>
      <x:c r="Y86" s="2" t="str">
        <x:v>16k</x:v>
      </x:c>
      <x:c r="Z86" s="2" t="str">
        <x:v>NA</x:v>
      </x:c>
      <x:c r="AA86" s="2" t="str">
        <x:v>No</x:v>
      </x:c>
      <x:c r="AB86" s="2" t="str">
        <x:v>No</x:v>
      </x:c>
      <x:c r="AC86" s="6" t="str">
        <x:v>p. 6; Section 5.2.5 Implementation Details</x:v>
      </x:c>
      <x:c r="AD86" s="6" t="str">
        <x:v>we utilize the OpenAI API version 0.28.0 to access both GPT-3.5 and GPT-4 models, specifying the model configuration as ’Completion’ and selecting ’gpt-3.5-turbo-16k’ and ’gpt-4’ as the model variants. We set the temperature parameter to 0</x:v>
      </x:c>
    </x:row>
    <x:row r="87" ht="76" customHeight="1">
      <x:c r="A87" s="2" t="str">
        <x:v>S08</x:v>
      </x:c>
      <x:c r="B87" s="2" t="str">
        <x:v>2024</x:v>
      </x:c>
      <x:c r="C87" s="2" t="str">
        <x:v>Published</x:v>
      </x:c>
      <x:c r="D87" s="6" t="str">
        <x:v>Supporting High-Level to Low-Level Requirements Coverage Reviewing with Large Language Models</x:v>
      </x:c>
      <x:c r="E87" s="2" t="str">
        <x:v>S08-MU02</x:v>
      </x:c>
      <x:c r="F87" s="2" t="str">
        <x:v>S08-O02</x:v>
      </x:c>
      <x:c r="G87" s="2" t="str">
        <x:v>S08-T01</x:v>
      </x:c>
      <x:c r="H87" s="2" t="str">
        <x:v>GPT-3.5</x:v>
      </x:c>
      <x:c r="I87" s="2" t="str">
        <x:v>GPT-3.5</x:v>
      </x:c>
      <x:c r="J87" s="2" t="str">
        <x:v>GPT</x:v>
      </x:c>
      <x:c r="K87" s="2" t="str">
        <x:v>GPT-3.5 Turbo</x:v>
      </x:c>
      <x:c r="L87" s="2" t="str">
        <x:v>Closed</x:v>
      </x:c>
      <x:c r="M87" s="2" t="str">
        <x:v>Closed</x:v>
      </x:c>
      <x:c r="N87" s="6" t="str">
        <x:v>Reported in extraction</x:v>
      </x:c>
      <x:c r="O87" s="2" t="str">
        <x:v>Yes</x:v>
      </x:c>
      <x:c r="P87" s="2" t="str"/>
      <x:c r="Q87" s="2" t="str">
        <x:v>API</x:v>
      </x:c>
      <x:c r="R87" s="2" t="str">
        <x:v>OpenAI API</x:v>
      </x:c>
      <x:c r="S87" s="2" t="str">
        <x:v>turbo-16k</x:v>
      </x:c>
      <x:c r="T87" s="2" t="str">
        <x:v>NR</x:v>
      </x:c>
      <x:c r="U87" s="2" t="str">
        <x:v>NR</x:v>
      </x:c>
      <x:c r="V87" s="2" t="n">
        <x:v>0</x:v>
      </x:c>
      <x:c r="W87" s="2" t="str">
        <x:v>NR</x:v>
      </x:c>
      <x:c r="X87" s="2" t="str">
        <x:v>NR</x:v>
      </x:c>
      <x:c r="Y87" s="2" t="str">
        <x:v>16k</x:v>
      </x:c>
      <x:c r="Z87" s="2" t="str">
        <x:v>NA</x:v>
      </x:c>
      <x:c r="AA87" s="2" t="str">
        <x:v>No</x:v>
      </x:c>
      <x:c r="AB87" s="2" t="str">
        <x:v>No</x:v>
      </x:c>
      <x:c r="AC87" s="6" t="str">
        <x:v>p. 6; Section 5.2.5 Implementation Details</x:v>
      </x:c>
      <x:c r="AD87" s="6" t="str">
        <x:v>we utilize the OpenAI API version 0.28.0 to access both GPT-3.5 and GPT-4 models, specifying the model configuration as ’Completion’ and selecting ’gpt-3.5-turbo-16k’ and ’gpt-4’ as the model variants. We set the temperature parameter to 0</x:v>
      </x:c>
    </x:row>
    <x:row r="88" ht="76" customHeight="1">
      <x:c r="A88" s="2" t="str">
        <x:v>S08</x:v>
      </x:c>
      <x:c r="B88" s="2" t="str">
        <x:v>2024</x:v>
      </x:c>
      <x:c r="C88" s="2" t="str">
        <x:v>Published</x:v>
      </x:c>
      <x:c r="D88" s="6" t="str">
        <x:v>Supporting High-Level to Low-Level Requirements Coverage Reviewing with Large Language Models</x:v>
      </x:c>
      <x:c r="E88" s="2" t="str">
        <x:v>S08-MU03</x:v>
      </x:c>
      <x:c r="F88" s="2" t="str">
        <x:v>S08-O04</x:v>
      </x:c>
      <x:c r="G88" s="2" t="str">
        <x:v>S08-T01</x:v>
      </x:c>
      <x:c r="H88" s="2" t="str">
        <x:v>GPT-3.5</x:v>
      </x:c>
      <x:c r="I88" s="2" t="str">
        <x:v>GPT-3.5</x:v>
      </x:c>
      <x:c r="J88" s="2" t="str">
        <x:v>GPT</x:v>
      </x:c>
      <x:c r="K88" s="2" t="str">
        <x:v>GPT-3.5 Turbo</x:v>
      </x:c>
      <x:c r="L88" s="2" t="str">
        <x:v>Closed</x:v>
      </x:c>
      <x:c r="M88" s="2" t="str">
        <x:v>Closed</x:v>
      </x:c>
      <x:c r="N88" s="6" t="str">
        <x:v>Reported in extraction</x:v>
      </x:c>
      <x:c r="O88" s="2" t="str">
        <x:v>Yes</x:v>
      </x:c>
      <x:c r="P88" s="2" t="str"/>
      <x:c r="Q88" s="2" t="str">
        <x:v>API</x:v>
      </x:c>
      <x:c r="R88" s="2" t="str">
        <x:v>OpenAI API</x:v>
      </x:c>
      <x:c r="S88" s="2" t="str">
        <x:v>turbo-16k</x:v>
      </x:c>
      <x:c r="T88" s="2" t="str">
        <x:v>NR</x:v>
      </x:c>
      <x:c r="U88" s="2" t="str">
        <x:v>NR</x:v>
      </x:c>
      <x:c r="V88" s="2" t="n">
        <x:v>0</x:v>
      </x:c>
      <x:c r="W88" s="2" t="str">
        <x:v>NR</x:v>
      </x:c>
      <x:c r="X88" s="2" t="str">
        <x:v>NR</x:v>
      </x:c>
      <x:c r="Y88" s="2" t="str">
        <x:v>16k</x:v>
      </x:c>
      <x:c r="Z88" s="2" t="str">
        <x:v>NA</x:v>
      </x:c>
      <x:c r="AA88" s="2" t="str">
        <x:v>No</x:v>
      </x:c>
      <x:c r="AB88" s="2" t="str">
        <x:v>No</x:v>
      </x:c>
      <x:c r="AC88" s="6" t="str">
        <x:v>p. 6; Section 5.2.5 Implementation Details</x:v>
      </x:c>
      <x:c r="AD88" s="6" t="str">
        <x:v>we utilize the OpenAI API version 0.28.0 to access both GPT-3.5 and GPT-4 models, specifying the model configuration as ’Completion’ and selecting ’gpt-3.5-turbo-16k’ and ’gpt-4’ as the model variants. We set the temperature parameter to 0</x:v>
      </x:c>
    </x:row>
    <x:row r="89" ht="76" customHeight="1">
      <x:c r="A89" s="2" t="str">
        <x:v>S13</x:v>
      </x:c>
      <x:c r="B89" s="2" t="str">
        <x:v>2025</x:v>
      </x:c>
      <x:c r="C89" s="2" t="str">
        <x:v>Published</x:v>
      </x:c>
      <x:c r="D89" s="6" t="str">
        <x:v>Synergistic Enhancement of Requirement-to-Code Traceability: A Framework Combining Large Language Model based Data Augmentation and an Advanced Encoder</x:v>
      </x:c>
      <x:c r="E89" s="2" t="str">
        <x:v>S13-MU03</x:v>
      </x:c>
      <x:c r="F89" s="2" t="str">
        <x:v>S13-O01</x:v>
      </x:c>
      <x:c r="G89" s="2" t="str">
        <x:v>S13-T01</x:v>
      </x:c>
      <x:c r="H89" s="2" t="str">
        <x:v>GPT-3.5 Turbo</x:v>
      </x:c>
      <x:c r="I89" s="2" t="str">
        <x:v>GPT-3.5 Turbo</x:v>
      </x:c>
      <x:c r="J89" s="2" t="str">
        <x:v>GPT</x:v>
      </x:c>
      <x:c r="K89" s="2" t="str">
        <x:v>GPT-3.5 Turbo</x:v>
      </x:c>
      <x:c r="L89" s="2" t="str">
        <x:v>Closed</x:v>
      </x:c>
      <x:c r="M89" s="2" t="str">
        <x:v>Closed</x:v>
      </x:c>
      <x:c r="N89" s="6" t="str">
        <x:v>Reported in extraction</x:v>
      </x:c>
      <x:c r="O89" s="2" t="str">
        <x:v>Yes</x:v>
      </x:c>
      <x:c r="P89" s="2" t="str"/>
      <x:c r="Q89" s="2" t="str">
        <x:v>API</x:v>
      </x:c>
      <x:c r="R89" s="2" t="str">
        <x:v>NR</x:v>
      </x:c>
      <x:c r="S89" s="2" t="str">
        <x:v>Turbo</x:v>
      </x:c>
      <x:c r="T89" s="2" t="str">
        <x:v>NR</x:v>
      </x:c>
      <x:c r="U89" s="2" t="str">
        <x:v>NR</x:v>
      </x:c>
      <x:c r="V89" s="2" t="str">
        <x:v>NR</x:v>
      </x:c>
      <x:c r="W89" s="2" t="str">
        <x:v>NR</x:v>
      </x:c>
      <x:c r="X89" s="2" t="str">
        <x:v>NR</x:v>
      </x:c>
      <x:c r="Y89" s="2" t="str">
        <x:v>NR</x:v>
      </x:c>
      <x:c r="Z89" s="2" t="str">
        <x:v>NR</x:v>
      </x:c>
      <x:c r="AA89" s="2" t="str">
        <x:v>No</x:v>
      </x:c>
      <x:c r="AB89" s="2" t="str">
        <x:v>No</x:v>
      </x:c>
      <x:c r="AC89" s="6" t="str">
        <x:v>p. 18; Section 4.2</x:v>
      </x:c>
      <x:c r="AD89" s="6" t="str">
        <x:v>For the data augmentation task, we utilized a panel of four leading, closed-source LLMs</x:v>
      </x:c>
    </x:row>
    <x:row r="90" ht="76" customHeight="1">
      <x:c r="A90" s="2" t="str">
        <x:v>S13</x:v>
      </x:c>
      <x:c r="B90" s="2" t="str">
        <x:v>2025</x:v>
      </x:c>
      <x:c r="C90" s="2" t="str">
        <x:v>Published</x:v>
      </x:c>
      <x:c r="D90" s="6" t="str">
        <x:v>Synergistic Enhancement of Requirement-to-Code Traceability: A Framework Combining Large Language Model based Data Augmentation and an Advanced Encoder</x:v>
      </x:c>
      <x:c r="E90" s="2" t="str">
        <x:v>S13-MU07</x:v>
      </x:c>
      <x:c r="F90" s="2" t="str">
        <x:v>S13-O02</x:v>
      </x:c>
      <x:c r="G90" s="2" t="str">
        <x:v>S13-T01</x:v>
      </x:c>
      <x:c r="H90" s="2" t="str">
        <x:v>GPT-3.5 Turbo</x:v>
      </x:c>
      <x:c r="I90" s="2" t="str">
        <x:v>GPT-3.5 Turbo</x:v>
      </x:c>
      <x:c r="J90" s="2" t="str">
        <x:v>GPT</x:v>
      </x:c>
      <x:c r="K90" s="2" t="str">
        <x:v>GPT-3.5 Turbo</x:v>
      </x:c>
      <x:c r="L90" s="2" t="str">
        <x:v>Closed</x:v>
      </x:c>
      <x:c r="M90" s="2" t="str">
        <x:v>Closed</x:v>
      </x:c>
      <x:c r="N90" s="6" t="str">
        <x:v>Reported in extraction</x:v>
      </x:c>
      <x:c r="O90" s="2" t="str">
        <x:v>Yes</x:v>
      </x:c>
      <x:c r="P90" s="2" t="str"/>
      <x:c r="Q90" s="2" t="str">
        <x:v>API</x:v>
      </x:c>
      <x:c r="R90" s="2" t="str">
        <x:v>NR</x:v>
      </x:c>
      <x:c r="S90" s="2" t="str">
        <x:v>Turbo</x:v>
      </x:c>
      <x:c r="T90" s="2" t="str">
        <x:v>NR</x:v>
      </x:c>
      <x:c r="U90" s="2" t="str">
        <x:v>NR</x:v>
      </x:c>
      <x:c r="V90" s="2" t="str">
        <x:v>NR</x:v>
      </x:c>
      <x:c r="W90" s="2" t="str">
        <x:v>NR</x:v>
      </x:c>
      <x:c r="X90" s="2" t="str">
        <x:v>NR</x:v>
      </x:c>
      <x:c r="Y90" s="2" t="str">
        <x:v>NR</x:v>
      </x:c>
      <x:c r="Z90" s="2" t="str">
        <x:v>NR</x:v>
      </x:c>
      <x:c r="AA90" s="2" t="str">
        <x:v>No</x:v>
      </x:c>
      <x:c r="AB90" s="2" t="str">
        <x:v>No</x:v>
      </x:c>
      <x:c r="AC90" s="6" t="str">
        <x:v>p. 18; Section 4.2</x:v>
      </x:c>
      <x:c r="AD90" s="6" t="str">
        <x:v>For the data augmentation task, we utilized a panel of four leading, closed-source LLMs</x:v>
      </x:c>
    </x:row>
    <x:row r="91" ht="76" customHeight="1">
      <x:c r="A91" s="2" t="str">
        <x:v>S35</x:v>
      </x:c>
      <x:c r="B91" s="2" t="str">
        <x:v>2024</x:v>
      </x:c>
      <x:c r="C91" s="2" t="str">
        <x:v>Published</x:v>
      </x:c>
      <x:c r="D91" s="6" t="str">
        <x:v>Tracing Feature Tests to Textual Requirements</x:v>
      </x:c>
      <x:c r="E91" s="2" t="str">
        <x:v>S35-MU01</x:v>
      </x:c>
      <x:c r="F91" s="2" t="str">
        <x:v>S35-O01</x:v>
      </x:c>
      <x:c r="G91" s="2" t="str">
        <x:v>S35-T02</x:v>
      </x:c>
      <x:c r="H91" s="2" t="str">
        <x:v>gpt-3.5-turbo</x:v>
      </x:c>
      <x:c r="I91" s="2" t="str">
        <x:v>gpt-3.5-turbo</x:v>
      </x:c>
      <x:c r="J91" s="2" t="str">
        <x:v>GPT</x:v>
      </x:c>
      <x:c r="K91" s="2" t="str">
        <x:v>GPT-3.5 Turbo</x:v>
      </x:c>
      <x:c r="L91" s="2" t="str">
        <x:v>Closed</x:v>
      </x:c>
      <x:c r="M91" s="2" t="str">
        <x:v>Closed</x:v>
      </x:c>
      <x:c r="N91" s="6" t="str">
        <x:v>Reported in extraction</x:v>
      </x:c>
      <x:c r="O91" s="2" t="str">
        <x:v>Yes</x:v>
      </x:c>
      <x:c r="P91" s="2" t="str"/>
      <x:c r="Q91" s="2" t="str">
        <x:v>API</x:v>
      </x:c>
      <x:c r="R91" s="2" t="str">
        <x:v>NR</x:v>
      </x:c>
      <x:c r="S91" s="2" t="str">
        <x:v>3.5</x:v>
      </x:c>
      <x:c r="T91" s="2" t="str">
        <x:v>NR</x:v>
      </x:c>
      <x:c r="U91" s="2" t="str">
        <x:v>Unclear</x:v>
      </x:c>
      <x:c r="V91" s="2" t="str">
        <x:v>NR</x:v>
      </x:c>
      <x:c r="W91" s="2" t="str">
        <x:v>NR</x:v>
      </x:c>
      <x:c r="X91" s="2" t="str">
        <x:v>NR</x:v>
      </x:c>
      <x:c r="Y91" s="2" t="str">
        <x:v>NR</x:v>
      </x:c>
      <x:c r="Z91" s="2" t="str">
        <x:v>NR</x:v>
      </x:c>
      <x:c r="AA91" s="2" t="str">
        <x:v>No</x:v>
      </x:c>
      <x:c r="AB91" s="2" t="str">
        <x:v>No</x:v>
      </x:c>
      <x:c r="AC91" s="6" t="str">
        <x:v>p. 3; Section II</x:v>
      </x:c>
      <x:c r="AD91" s="6" t="str">
        <x:v>We exploit gpt-3.5-turbo [24]</x:v>
      </x:c>
    </x:row>
    <x:row r="92" ht="76" customHeight="1">
      <x:c r="A92" s="2" t="str">
        <x:v>S49</x:v>
      </x:c>
      <x:c r="B92" s="2" t="str">
        <x:v>2024</x:v>
      </x:c>
      <x:c r="C92" s="2" t="str">
        <x:v>Published</x:v>
      </x:c>
      <x:c r="D92" s="6" t="str">
        <x:v>Requirements Engineering Using Generative AI: Prompts and Prompting Patterns</x:v>
      </x:c>
      <x:c r="E92" s="2" t="str">
        <x:v>S49-MU01</x:v>
      </x:c>
      <x:c r="F92" s="2" t="str">
        <x:v>S49-O01</x:v>
      </x:c>
      <x:c r="G92" s="2" t="str">
        <x:v>S49-T01</x:v>
      </x:c>
      <x:c r="H92" s="2" t="str">
        <x:v>GPT 3.5-turbo</x:v>
      </x:c>
      <x:c r="I92" s="2" t="str">
        <x:v>gpt-3.5-turbo</x:v>
      </x:c>
      <x:c r="J92" s="2" t="str">
        <x:v>GPT</x:v>
      </x:c>
      <x:c r="K92" s="2" t="str">
        <x:v>GPT-3.5 Turbo</x:v>
      </x:c>
      <x:c r="L92" s="2" t="str">
        <x:v>Closed</x:v>
      </x:c>
      <x:c r="M92" s="2" t="str">
        <x:v>Closed</x:v>
      </x:c>
      <x:c r="N92" s="6" t="str">
        <x:v>Reported in extraction</x:v>
      </x:c>
      <x:c r="O92" s="2" t="str">
        <x:v>Yes</x:v>
      </x:c>
      <x:c r="P92" s="2" t="str"/>
      <x:c r="Q92" s="2" t="str">
        <x:v>API</x:v>
      </x:c>
      <x:c r="R92" s="2" t="str">
        <x:v>API</x:v>
      </x:c>
      <x:c r="S92" s="2" t="str">
        <x:v>turbo</x:v>
      </x:c>
      <x:c r="T92" s="2" t="str">
        <x:v>NR</x:v>
      </x:c>
      <x:c r="U92" s="2" t="str">
        <x:v>NR</x:v>
      </x:c>
      <x:c r="V92" s="2" t="str">
        <x:v>NR</x:v>
      </x:c>
      <x:c r="W92" s="2" t="str">
        <x:v>NR</x:v>
      </x:c>
      <x:c r="X92" s="2" t="n">
        <x:v>5</x:v>
      </x:c>
      <x:c r="Y92" s="2" t="str">
        <x:v>NR</x:v>
      </x:c>
      <x:c r="Z92" s="2" t="str">
        <x:v>NR</x:v>
      </x:c>
      <x:c r="AA92" s="2" t="str">
        <x:v>No</x:v>
      </x:c>
      <x:c r="AB92" s="2" t="str">
        <x:v>No</x:v>
      </x:c>
      <x:c r="AC92" s="6" t="str">
        <x:v>p. 13; section 4.1, Cognitive Verifier Pattern paragraph</x:v>
      </x:c>
      <x:c r="AD92" s="6" t="str">
        <x:v>When it comes to the requirements traceability task, this pattern yielded higher precision, recall, F-score and accuracy at higher temperature settings, as seen in Table 3.</x:v>
      </x:c>
    </x:row>
    <x:row r="93" ht="76" customHeight="1">
      <x:c r="A93" s="2" t="str">
        <x:v>S49</x:v>
      </x:c>
      <x:c r="B93" s="2" t="str">
        <x:v>2024</x:v>
      </x:c>
      <x:c r="C93" s="2" t="str">
        <x:v>Published</x:v>
      </x:c>
      <x:c r="D93" s="6" t="str">
        <x:v>Requirements Engineering Using Generative AI: Prompts and Prompting Patterns</x:v>
      </x:c>
      <x:c r="E93" s="2" t="str">
        <x:v>S49-MU02</x:v>
      </x:c>
      <x:c r="F93" s="2" t="str">
        <x:v>S49-O01</x:v>
      </x:c>
      <x:c r="G93" s="2" t="str">
        <x:v>S49-T01</x:v>
      </x:c>
      <x:c r="H93" s="2" t="str">
        <x:v>GPT 3.5-turbo</x:v>
      </x:c>
      <x:c r="I93" s="2" t="str">
        <x:v>gpt-3.5-turbo</x:v>
      </x:c>
      <x:c r="J93" s="2" t="str">
        <x:v>GPT</x:v>
      </x:c>
      <x:c r="K93" s="2" t="str">
        <x:v>GPT-3.5 Turbo</x:v>
      </x:c>
      <x:c r="L93" s="2" t="str">
        <x:v>Closed</x:v>
      </x:c>
      <x:c r="M93" s="2" t="str">
        <x:v>Closed</x:v>
      </x:c>
      <x:c r="N93" s="6" t="str">
        <x:v>Reported in extraction</x:v>
      </x:c>
      <x:c r="O93" s="2" t="str">
        <x:v>Yes</x:v>
      </x:c>
      <x:c r="P93" s="2" t="str"/>
      <x:c r="Q93" s="2" t="str">
        <x:v>API</x:v>
      </x:c>
      <x:c r="R93" s="2" t="str">
        <x:v>API</x:v>
      </x:c>
      <x:c r="S93" s="2" t="str">
        <x:v>turbo</x:v>
      </x:c>
      <x:c r="T93" s="2" t="str">
        <x:v>NR</x:v>
      </x:c>
      <x:c r="U93" s="2" t="str">
        <x:v>NR</x:v>
      </x:c>
      <x:c r="V93" s="2" t="str">
        <x:v>NR</x:v>
      </x:c>
      <x:c r="W93" s="2" t="str">
        <x:v>NR</x:v>
      </x:c>
      <x:c r="X93" s="2" t="n">
        <x:v>5</x:v>
      </x:c>
      <x:c r="Y93" s="2" t="str">
        <x:v>NR</x:v>
      </x:c>
      <x:c r="Z93" s="2" t="str">
        <x:v>NR</x:v>
      </x:c>
      <x:c r="AA93" s="2" t="str">
        <x:v>No</x:v>
      </x:c>
      <x:c r="AB93" s="2" t="str">
        <x:v>No</x:v>
      </x:c>
      <x:c r="AC93" s="6" t="str">
        <x:v>p. 13; section 4.1, Context Manager Pattern paragraph</x:v>
      </x:c>
      <x:c r="AD93" s="6" t="str">
        <x:v>When looking at the requirements traceability task, this pattern yielded the lowest precision, recall and F-score values among all the patterns.</x:v>
      </x:c>
    </x:row>
    <x:row r="94" ht="76" customHeight="1">
      <x:c r="A94" s="2" t="str">
        <x:v>S49</x:v>
      </x:c>
      <x:c r="B94" s="2" t="str">
        <x:v>2024</x:v>
      </x:c>
      <x:c r="C94" s="2" t="str">
        <x:v>Published</x:v>
      </x:c>
      <x:c r="D94" s="6" t="str">
        <x:v>Requirements Engineering Using Generative AI: Prompts and Prompting Patterns</x:v>
      </x:c>
      <x:c r="E94" s="2" t="str">
        <x:v>S49-MU03</x:v>
      </x:c>
      <x:c r="F94" s="2" t="str">
        <x:v>S49-O01</x:v>
      </x:c>
      <x:c r="G94" s="2" t="str">
        <x:v>S49-T01</x:v>
      </x:c>
      <x:c r="H94" s="2" t="str">
        <x:v>GPT 3.5-turbo</x:v>
      </x:c>
      <x:c r="I94" s="2" t="str">
        <x:v>gpt-3.5-turbo</x:v>
      </x:c>
      <x:c r="J94" s="2" t="str">
        <x:v>GPT</x:v>
      </x:c>
      <x:c r="K94" s="2" t="str">
        <x:v>GPT-3.5 Turbo</x:v>
      </x:c>
      <x:c r="L94" s="2" t="str">
        <x:v>Closed</x:v>
      </x:c>
      <x:c r="M94" s="2" t="str">
        <x:v>Closed</x:v>
      </x:c>
      <x:c r="N94" s="6" t="str">
        <x:v>Reported in extraction</x:v>
      </x:c>
      <x:c r="O94" s="2" t="str">
        <x:v>Yes</x:v>
      </x:c>
      <x:c r="P94" s="2" t="str"/>
      <x:c r="Q94" s="2" t="str">
        <x:v>API</x:v>
      </x:c>
      <x:c r="R94" s="2" t="str">
        <x:v>API</x:v>
      </x:c>
      <x:c r="S94" s="2" t="str">
        <x:v>turbo</x:v>
      </x:c>
      <x:c r="T94" s="2" t="str">
        <x:v>NR</x:v>
      </x:c>
      <x:c r="U94" s="2" t="str">
        <x:v>NR</x:v>
      </x:c>
      <x:c r="V94" s="2" t="str">
        <x:v>NR</x:v>
      </x:c>
      <x:c r="W94" s="2" t="str">
        <x:v>NR</x:v>
      </x:c>
      <x:c r="X94" s="2" t="n">
        <x:v>5</x:v>
      </x:c>
      <x:c r="Y94" s="2" t="str">
        <x:v>NR</x:v>
      </x:c>
      <x:c r="Z94" s="2" t="str">
        <x:v>NR</x:v>
      </x:c>
      <x:c r="AA94" s="2" t="str">
        <x:v>No</x:v>
      </x:c>
      <x:c r="AB94" s="2" t="str">
        <x:v>No</x:v>
      </x:c>
      <x:c r="AC94" s="6" t="str">
        <x:v>p. 13; section 4.1, Persona Pattern paragraph</x:v>
      </x:c>
      <x:c r="AD94" s="6" t="str">
        <x:v>The Persona pattern yielded the highest recall scores compared to the other patterns when it comes to requirements traceability task.</x:v>
      </x:c>
    </x:row>
    <x:row r="95" ht="76" customHeight="1">
      <x:c r="A95" s="2" t="str">
        <x:v>S49</x:v>
      </x:c>
      <x:c r="B95" s="2" t="str">
        <x:v>2024</x:v>
      </x:c>
      <x:c r="C95" s="2" t="str">
        <x:v>Published</x:v>
      </x:c>
      <x:c r="D95" s="6" t="str">
        <x:v>Requirements Engineering Using Generative AI: Prompts and Prompting Patterns</x:v>
      </x:c>
      <x:c r="E95" s="2" t="str">
        <x:v>S49-MU04</x:v>
      </x:c>
      <x:c r="F95" s="2" t="str">
        <x:v>S49-O01</x:v>
      </x:c>
      <x:c r="G95" s="2" t="str">
        <x:v>S49-T01</x:v>
      </x:c>
      <x:c r="H95" s="2" t="str">
        <x:v>GPT 3.5-turbo</x:v>
      </x:c>
      <x:c r="I95" s="2" t="str">
        <x:v>gpt-3.5-turbo</x:v>
      </x:c>
      <x:c r="J95" s="2" t="str">
        <x:v>GPT</x:v>
      </x:c>
      <x:c r="K95" s="2" t="str">
        <x:v>GPT-3.5 Turbo</x:v>
      </x:c>
      <x:c r="L95" s="2" t="str">
        <x:v>Closed</x:v>
      </x:c>
      <x:c r="M95" s="2" t="str">
        <x:v>Closed</x:v>
      </x:c>
      <x:c r="N95" s="6" t="str">
        <x:v>Reported in extraction</x:v>
      </x:c>
      <x:c r="O95" s="2" t="str">
        <x:v>Yes</x:v>
      </x:c>
      <x:c r="P95" s="2" t="str"/>
      <x:c r="Q95" s="2" t="str">
        <x:v>API</x:v>
      </x:c>
      <x:c r="R95" s="2" t="str">
        <x:v>API</x:v>
      </x:c>
      <x:c r="S95" s="2" t="str">
        <x:v>turbo</x:v>
      </x:c>
      <x:c r="T95" s="2" t="str">
        <x:v>NR</x:v>
      </x:c>
      <x:c r="U95" s="2" t="str">
        <x:v>NR</x:v>
      </x:c>
      <x:c r="V95" s="2" t="str">
        <x:v>NR</x:v>
      </x:c>
      <x:c r="W95" s="2" t="str">
        <x:v>NR</x:v>
      </x:c>
      <x:c r="X95" s="2" t="n">
        <x:v>5</x:v>
      </x:c>
      <x:c r="Y95" s="2" t="str">
        <x:v>NR</x:v>
      </x:c>
      <x:c r="Z95" s="2" t="str">
        <x:v>NR</x:v>
      </x:c>
      <x:c r="AA95" s="2" t="str">
        <x:v>No</x:v>
      </x:c>
      <x:c r="AB95" s="2" t="str">
        <x:v>No</x:v>
      </x:c>
      <x:c r="AC95" s="6" t="str">
        <x:v>p. 14; section 4.1, Question Refinement Pattern paragraph</x:v>
      </x:c>
      <x:c r="AD95" s="6" t="str">
        <x:v>Even in the requirements traceability task, this pattern yielded the highest average precision, F-score and accuracy values in comparison to other patterns.</x:v>
      </x:c>
    </x:row>
    <x:row r="96" ht="76" customHeight="1">
      <x:c r="A96" s="2" t="str">
        <x:v>S49</x:v>
      </x:c>
      <x:c r="B96" s="2" t="str">
        <x:v>2024</x:v>
      </x:c>
      <x:c r="C96" s="2" t="str">
        <x:v>Published</x:v>
      </x:c>
      <x:c r="D96" s="6" t="str">
        <x:v>Requirements Engineering Using Generative AI: Prompts and Prompting Patterns</x:v>
      </x:c>
      <x:c r="E96" s="2" t="str">
        <x:v>S49-MU05</x:v>
      </x:c>
      <x:c r="F96" s="2" t="str">
        <x:v>S49-O01</x:v>
      </x:c>
      <x:c r="G96" s="2" t="str">
        <x:v>S49-T01</x:v>
      </x:c>
      <x:c r="H96" s="2" t="str">
        <x:v>GPT 3.5-turbo</x:v>
      </x:c>
      <x:c r="I96" s="2" t="str">
        <x:v>gpt-3.5-turbo</x:v>
      </x:c>
      <x:c r="J96" s="2" t="str">
        <x:v>GPT</x:v>
      </x:c>
      <x:c r="K96" s="2" t="str">
        <x:v>GPT-3.5 Turbo</x:v>
      </x:c>
      <x:c r="L96" s="2" t="str">
        <x:v>Closed</x:v>
      </x:c>
      <x:c r="M96" s="2" t="str">
        <x:v>Closed</x:v>
      </x:c>
      <x:c r="N96" s="6" t="str">
        <x:v>Reported in extraction</x:v>
      </x:c>
      <x:c r="O96" s="2" t="str">
        <x:v>Yes</x:v>
      </x:c>
      <x:c r="P96" s="2" t="str"/>
      <x:c r="Q96" s="2" t="str">
        <x:v>API</x:v>
      </x:c>
      <x:c r="R96" s="2" t="str">
        <x:v>API</x:v>
      </x:c>
      <x:c r="S96" s="2" t="str">
        <x:v>turbo</x:v>
      </x:c>
      <x:c r="T96" s="2" t="str">
        <x:v>NR</x:v>
      </x:c>
      <x:c r="U96" s="2" t="str">
        <x:v>NR</x:v>
      </x:c>
      <x:c r="V96" s="2" t="str">
        <x:v>NR</x:v>
      </x:c>
      <x:c r="W96" s="2" t="str">
        <x:v>NR</x:v>
      </x:c>
      <x:c r="X96" s="2" t="n">
        <x:v>5</x:v>
      </x:c>
      <x:c r="Y96" s="2" t="str">
        <x:v>NR</x:v>
      </x:c>
      <x:c r="Z96" s="2" t="str">
        <x:v>NR</x:v>
      </x:c>
      <x:c r="AA96" s="2" t="str">
        <x:v>No</x:v>
      </x:c>
      <x:c r="AB96" s="2" t="str">
        <x:v>No</x:v>
      </x:c>
      <x:c r="AC96" s="6" t="str">
        <x:v>p. 14; section 4.1, Template Pattern paragraph</x:v>
      </x:c>
      <x:c r="AD96" s="6" t="str">
        <x:v>The template pattern does not show any noteworthy improvement in results when it comes to the requirements traceability task.</x:v>
      </x:c>
    </x:row>
    <x:row r="97" ht="76" customHeight="1">
      <x:c r="A97" s="2" t="str">
        <x:v>S51</x:v>
      </x:c>
      <x:c r="B97" s="2" t="str">
        <x:v>2024</x:v>
      </x:c>
      <x:c r="C97" s="2" t="str">
        <x:v>Published</x:v>
      </x:c>
      <x:c r="D97" s="6" t="str">
        <x:v>Exploring LLMs for Verifying Technical System Specifications Against Requirements</x:v>
      </x:c>
      <x:c r="E97" s="2" t="str">
        <x:v>S51-MU02</x:v>
      </x:c>
      <x:c r="F97" s="2" t="str">
        <x:v>S51-O01</x:v>
      </x:c>
      <x:c r="G97" s="2" t="str">
        <x:v>S51-T01</x:v>
      </x:c>
      <x:c r="H97" s="2" t="str">
        <x:v>GPT-3.5-turbo</x:v>
      </x:c>
      <x:c r="I97" s="2" t="str">
        <x:v>GPT-3.5 Turbo-0125</x:v>
      </x:c>
      <x:c r="J97" s="2" t="str">
        <x:v>GPT</x:v>
      </x:c>
      <x:c r="K97" s="2" t="str">
        <x:v>GPT-3.5 Turbo</x:v>
      </x:c>
      <x:c r="L97" s="2" t="str">
        <x:v>Closed</x:v>
      </x:c>
      <x:c r="M97" s="2" t="str">
        <x:v>Closed</x:v>
      </x:c>
      <x:c r="N97" s="6" t="str">
        <x:v>Reported in extraction</x:v>
      </x:c>
      <x:c r="O97" s="2" t="str">
        <x:v>Yes</x:v>
      </x:c>
      <x:c r="P97" s="2" t="str"/>
      <x:c r="Q97" s="2" t="str">
        <x:v>API</x:v>
      </x:c>
      <x:c r="R97" s="2" t="str">
        <x:v>NR</x:v>
      </x:c>
      <x:c r="S97" s="2" t="str">
        <x:v>gpt-3.5-turbo-0125</x:v>
      </x:c>
      <x:c r="T97" s="2" t="str">
        <x:v>NR</x:v>
      </x:c>
      <x:c r="U97" s="2" t="str">
        <x:v>2024-09-17 to 2024-10-07</x:v>
      </x:c>
      <x:c r="V97" s="2" t="str">
        <x:v>NR</x:v>
      </x:c>
      <x:c r="W97" s="2" t="str">
        <x:v>NR</x:v>
      </x:c>
      <x:c r="X97" s="2" t="n">
        <x:v>3</x:v>
      </x:c>
      <x:c r="Y97" s="2" t="str">
        <x:v>NR</x:v>
      </x:c>
      <x:c r="Z97" s="2" t="str">
        <x:v>NR</x:v>
      </x:c>
      <x:c r="AA97" s="2" t="str">
        <x:v>No</x:v>
      </x:c>
      <x:c r="AB97" s="2" t="str">
        <x:v>No</x:v>
      </x:c>
      <x:c r="AC97" s="6" t="str">
        <x:v>p. 4; Section III-C. Experimental Variables</x:v>
      </x:c>
      <x:c r="AD97" s="6" t="str">
        <x:v>Four different LLMs are used in the experiments and compared to one another: GPT-4o, GPT-3.5-turbo, Gemini-1.5, and Claude 3.5 Sonnet.</x:v>
      </x:c>
    </x:row>
    <x:row r="98" ht="76" customHeight="1">
      <x:c r="A98" s="2" t="str">
        <x:v>S02</x:v>
      </x:c>
      <x:c r="B98" s="2" t="str">
        <x:v>2026</x:v>
      </x:c>
      <x:c r="C98" s="2" t="str">
        <x:v>Published</x:v>
      </x:c>
      <x:c r="D98" s="6" t="str">
        <x:v>Who's Who? LLM-assisted Software Traceability with Architecture Entity Recognition</x:v>
      </x:c>
      <x:c r="E98" s="2" t="str">
        <x:v>S02-MU04</x:v>
      </x:c>
      <x:c r="F98" s="2" t="str">
        <x:v>S02-O01</x:v>
      </x:c>
      <x:c r="G98" s="2" t="str">
        <x:v>S02-T01</x:v>
      </x:c>
      <x:c r="H98" s="2" t="str">
        <x:v>GPT-4</x:v>
      </x:c>
      <x:c r="I98" s="2" t="str">
        <x:v>GPT-4</x:v>
      </x:c>
      <x:c r="J98" s="2" t="str">
        <x:v>GPT</x:v>
      </x:c>
      <x:c r="K98" s="2" t="str">
        <x:v>GPT-4</x:v>
      </x:c>
      <x:c r="L98" s="2" t="str">
        <x:v>Closed</x:v>
      </x:c>
      <x:c r="M98" s="2" t="str">
        <x:v>Closed</x:v>
      </x:c>
      <x:c r="N98" s="6" t="str">
        <x:v>Reported in extraction</x:v>
      </x:c>
      <x:c r="O98" s="2" t="str">
        <x:v>Yes</x:v>
      </x:c>
      <x:c r="P98" s="2" t="str"/>
      <x:c r="Q98" s="2" t="str">
        <x:v>API</x:v>
      </x:c>
      <x:c r="R98" s="2" t="str">
        <x:v>NR</x:v>
      </x:c>
      <x:c r="S98" s="2" t="str">
        <x:v>NR</x:v>
      </x:c>
      <x:c r="T98" s="2" t="str">
        <x:v>NR</x:v>
      </x:c>
      <x:c r="U98" s="2" t="str">
        <x:v>NR</x:v>
      </x:c>
      <x:c r="V98" s="2" t="n">
        <x:v>0</x:v>
      </x:c>
      <x:c r="W98" s="2" t="str">
        <x:v>NR</x:v>
      </x:c>
      <x:c r="X98" s="2" t="n">
        <x:v>1</x:v>
      </x:c>
      <x:c r="Y98" s="2" t="str">
        <x:v>NR</x:v>
      </x:c>
      <x:c r="Z98" s="2" t="str">
        <x:v>NR</x:v>
      </x:c>
      <x:c r="AA98" s="2" t="str">
        <x:v>No</x:v>
      </x:c>
      <x:c r="AB98" s="2" t="str">
        <x:v>No</x:v>
      </x:c>
      <x:c r="AC98" s="6" t="str">
        <x:v>p. 10; Section 5.1; Section 5.5</x:v>
      </x:c>
      <x:c r="AD98" s="6" t="str">
        <x:v>mini, GPT-4o, GPT-4 Turbo, GPT-4, and GPT-3.5 Turbo. As local models, we use Codellama 13b, Meta AI Llama 3.1 8b, and Meta AI Llama 3.1 70b.</x:v>
      </x:c>
    </x:row>
    <x:row r="99" ht="76" customHeight="1">
      <x:c r="A99" s="2" t="str">
        <x:v>S07</x:v>
      </x:c>
      <x:c r="B99" s="2" t="str">
        <x:v>2026</x:v>
      </x:c>
      <x:c r="C99" s="2" t="str">
        <x:v>Published</x:v>
      </x:c>
      <x:c r="D99" s="6" t="str">
        <x:v>REST-at: An LLM-Based Tool for Automating Traceability between Requirements and Test Cases</x:v>
      </x:c>
      <x:c r="E99" s="2" t="str">
        <x:v>S07-MU02</x:v>
      </x:c>
      <x:c r="F99" s="2" t="str">
        <x:v>S07-O01</x:v>
      </x:c>
      <x:c r="G99" s="2" t="str">
        <x:v>S07-T01</x:v>
      </x:c>
      <x:c r="H99" s="2" t="str">
        <x:v>GPT-4</x:v>
      </x:c>
      <x:c r="I99" s="2" t="str">
        <x:v>gpt-4</x:v>
      </x:c>
      <x:c r="J99" s="2" t="str">
        <x:v>GPT</x:v>
      </x:c>
      <x:c r="K99" s="2" t="str">
        <x:v>GPT-4</x:v>
      </x:c>
      <x:c r="L99" s="2" t="str">
        <x:v>Closed</x:v>
      </x:c>
      <x:c r="M99" s="2" t="str">
        <x:v>Closed</x:v>
      </x:c>
      <x:c r="N99" s="6" t="str">
        <x:v>Reported in extraction</x:v>
      </x:c>
      <x:c r="O99" s="2" t="str">
        <x:v>Yes</x:v>
      </x:c>
      <x:c r="P99" s="2" t="str"/>
      <x:c r="Q99" s="2" t="str">
        <x:v>API</x:v>
      </x:c>
      <x:c r="R99" s="2" t="str">
        <x:v>API calls to OpenAI</x:v>
      </x:c>
      <x:c r="S99" s="2" t="str">
        <x:v>Unclear</x:v>
      </x:c>
      <x:c r="T99" s="2" t="str">
        <x:v>Unclear</x:v>
      </x:c>
      <x:c r="U99" s="2" t="str">
        <x:v>2024-05 to 2024-07</x:v>
      </x:c>
      <x:c r="V99" s="2" t="n">
        <x:v>0.1</x:v>
      </x:c>
      <x:c r="W99" s="2" t="str">
        <x:v>NR</x:v>
      </x:c>
      <x:c r="X99" s="2" t="n">
        <x:v>30</x:v>
      </x:c>
      <x:c r="Y99" s="2" t="str">
        <x:v>NR</x:v>
      </x:c>
      <x:c r="Z99" s="2" t="str">
        <x:v>NR</x:v>
      </x:c>
      <x:c r="AA99" s="2" t="str">
        <x:v>Yes</x:v>
      </x:c>
      <x:c r="AB99" s="2" t="str">
        <x:v>No</x:v>
      </x:c>
      <x:c r="AC99" s="6" t="str">
        <x:v>p. 2; Introduction</x:v>
      </x:c>
      <x:c r="AD99" s="6" t="str">
        <x:v>4’s parameters from OpenAI.</x:v>
      </x:c>
    </x:row>
    <x:row r="100" ht="76" customHeight="1">
      <x:c r="A100" s="2" t="str">
        <x:v>S08</x:v>
      </x:c>
      <x:c r="B100" s="2" t="str">
        <x:v>2024</x:v>
      </x:c>
      <x:c r="C100" s="2" t="str">
        <x:v>Published</x:v>
      </x:c>
      <x:c r="D100" s="6" t="str">
        <x:v>Supporting High-Level to Low-Level Requirements Coverage Reviewing with Large Language Models</x:v>
      </x:c>
      <x:c r="E100" s="2" t="str">
        <x:v>S08-MU04</x:v>
      </x:c>
      <x:c r="F100" s="2" t="str">
        <x:v>S08-O01</x:v>
      </x:c>
      <x:c r="G100" s="2" t="str">
        <x:v>S08-T01</x:v>
      </x:c>
      <x:c r="H100" s="2" t="str">
        <x:v>GPT-4</x:v>
      </x:c>
      <x:c r="I100" s="2" t="str">
        <x:v>GPT-4</x:v>
      </x:c>
      <x:c r="J100" s="2" t="str">
        <x:v>GPT</x:v>
      </x:c>
      <x:c r="K100" s="2" t="str">
        <x:v>GPT-4</x:v>
      </x:c>
      <x:c r="L100" s="2" t="str">
        <x:v>Closed</x:v>
      </x:c>
      <x:c r="M100" s="2" t="str">
        <x:v>Closed</x:v>
      </x:c>
      <x:c r="N100" s="6" t="str">
        <x:v>Reported in extraction</x:v>
      </x:c>
      <x:c r="O100" s="2" t="str">
        <x:v>Yes</x:v>
      </x:c>
      <x:c r="P100" s="2" t="str"/>
      <x:c r="Q100" s="2" t="str">
        <x:v>API</x:v>
      </x:c>
      <x:c r="R100" s="2" t="str">
        <x:v>OpenAI API</x:v>
      </x:c>
      <x:c r="S100" s="2" t="str">
        <x:v>gpt-4</x:v>
      </x:c>
      <x:c r="T100" s="2" t="str">
        <x:v>NR</x:v>
      </x:c>
      <x:c r="U100" s="2" t="str">
        <x:v>NR</x:v>
      </x:c>
      <x:c r="V100" s="2" t="n">
        <x:v>0</x:v>
      </x:c>
      <x:c r="W100" s="2" t="str">
        <x:v>NR</x:v>
      </x:c>
      <x:c r="X100" s="2" t="str">
        <x:v>NR</x:v>
      </x:c>
      <x:c r="Y100" s="2" t="str">
        <x:v>NR</x:v>
      </x:c>
      <x:c r="Z100" s="2" t="str">
        <x:v>NA</x:v>
      </x:c>
      <x:c r="AA100" s="2" t="str">
        <x:v>No</x:v>
      </x:c>
      <x:c r="AB100" s="2" t="str">
        <x:v>No</x:v>
      </x:c>
      <x:c r="AC100" s="6" t="str">
        <x:v>p. 6; Section 5.2.5 Implementation Details</x:v>
      </x:c>
      <x:c r="AD100" s="6" t="str">
        <x:v>we utilize the OpenAI API version 0.28.0 to access both GPT-3.5 and GPT-4 models, specifying the model configuration as ’Completion’ and selecting ’gpt-3.5-turbo-16k’ and ’gpt-4’ as the model variants. We set the temperature parameter to 0</x:v>
      </x:c>
    </x:row>
    <x:row r="101" ht="76" customHeight="1">
      <x:c r="A101" s="2" t="str">
        <x:v>S08</x:v>
      </x:c>
      <x:c r="B101" s="2" t="str">
        <x:v>2024</x:v>
      </x:c>
      <x:c r="C101" s="2" t="str">
        <x:v>Published</x:v>
      </x:c>
      <x:c r="D101" s="6" t="str">
        <x:v>Supporting High-Level to Low-Level Requirements Coverage Reviewing with Large Language Models</x:v>
      </x:c>
      <x:c r="E101" s="2" t="str">
        <x:v>S08-MU05</x:v>
      </x:c>
      <x:c r="F101" s="2" t="str">
        <x:v>S08-O02</x:v>
      </x:c>
      <x:c r="G101" s="2" t="str">
        <x:v>S08-T01</x:v>
      </x:c>
      <x:c r="H101" s="2" t="str">
        <x:v>GPT-4</x:v>
      </x:c>
      <x:c r="I101" s="2" t="str">
        <x:v>GPT-4</x:v>
      </x:c>
      <x:c r="J101" s="2" t="str">
        <x:v>GPT</x:v>
      </x:c>
      <x:c r="K101" s="2" t="str">
        <x:v>GPT-4</x:v>
      </x:c>
      <x:c r="L101" s="2" t="str">
        <x:v>Closed</x:v>
      </x:c>
      <x:c r="M101" s="2" t="str">
        <x:v>Closed</x:v>
      </x:c>
      <x:c r="N101" s="6" t="str">
        <x:v>Reported in extraction</x:v>
      </x:c>
      <x:c r="O101" s="2" t="str">
        <x:v>Yes</x:v>
      </x:c>
      <x:c r="P101" s="2" t="str"/>
      <x:c r="Q101" s="2" t="str">
        <x:v>API</x:v>
      </x:c>
      <x:c r="R101" s="2" t="str">
        <x:v>OpenAI API</x:v>
      </x:c>
      <x:c r="S101" s="2" t="str">
        <x:v>gpt-4</x:v>
      </x:c>
      <x:c r="T101" s="2" t="str">
        <x:v>NR</x:v>
      </x:c>
      <x:c r="U101" s="2" t="str">
        <x:v>NR</x:v>
      </x:c>
      <x:c r="V101" s="2" t="n">
        <x:v>0</x:v>
      </x:c>
      <x:c r="W101" s="2" t="str">
        <x:v>NR</x:v>
      </x:c>
      <x:c r="X101" s="2" t="str">
        <x:v>NR</x:v>
      </x:c>
      <x:c r="Y101" s="2" t="str">
        <x:v>NR</x:v>
      </x:c>
      <x:c r="Z101" s="2" t="str">
        <x:v>NA</x:v>
      </x:c>
      <x:c r="AA101" s="2" t="str">
        <x:v>No</x:v>
      </x:c>
      <x:c r="AB101" s="2" t="str">
        <x:v>No</x:v>
      </x:c>
      <x:c r="AC101" s="6" t="str">
        <x:v>p. 6; Section 5.2.5 Implementation Details</x:v>
      </x:c>
      <x:c r="AD101" s="6" t="str">
        <x:v>we utilize the OpenAI API version 0.28.0 to access both GPT-3.5 and GPT-4 models, specifying the model configuration as ’Completion’ and selecting ’gpt-3.5-turbo-16k’ and ’gpt-4’ as the model variants. We set the temperature parameter to 0</x:v>
      </x:c>
    </x:row>
    <x:row r="102" ht="76" customHeight="1">
      <x:c r="A102" s="2" t="str">
        <x:v>S08</x:v>
      </x:c>
      <x:c r="B102" s="2" t="str">
        <x:v>2024</x:v>
      </x:c>
      <x:c r="C102" s="2" t="str">
        <x:v>Published</x:v>
      </x:c>
      <x:c r="D102" s="6" t="str">
        <x:v>Supporting High-Level to Low-Level Requirements Coverage Reviewing with Large Language Models</x:v>
      </x:c>
      <x:c r="E102" s="2" t="str">
        <x:v>S08-MU06</x:v>
      </x:c>
      <x:c r="F102" s="2" t="str">
        <x:v>S08-O03</x:v>
      </x:c>
      <x:c r="G102" s="2" t="str">
        <x:v>S08-T01</x:v>
      </x:c>
      <x:c r="H102" s="2" t="str">
        <x:v>GPT-4</x:v>
      </x:c>
      <x:c r="I102" s="2" t="str">
        <x:v>GPT-4</x:v>
      </x:c>
      <x:c r="J102" s="2" t="str">
        <x:v>GPT</x:v>
      </x:c>
      <x:c r="K102" s="2" t="str">
        <x:v>GPT-4</x:v>
      </x:c>
      <x:c r="L102" s="2" t="str">
        <x:v>Closed</x:v>
      </x:c>
      <x:c r="M102" s="2" t="str">
        <x:v>Closed</x:v>
      </x:c>
      <x:c r="N102" s="6" t="str">
        <x:v>Reported in extraction</x:v>
      </x:c>
      <x:c r="O102" s="2" t="str">
        <x:v>Yes</x:v>
      </x:c>
      <x:c r="P102" s="2" t="str"/>
      <x:c r="Q102" s="2" t="str">
        <x:v>API</x:v>
      </x:c>
      <x:c r="R102" s="2" t="str">
        <x:v>OpenAI API</x:v>
      </x:c>
      <x:c r="S102" s="2" t="str">
        <x:v>gpt-4</x:v>
      </x:c>
      <x:c r="T102" s="2" t="str">
        <x:v>NR</x:v>
      </x:c>
      <x:c r="U102" s="2" t="str">
        <x:v>NR</x:v>
      </x:c>
      <x:c r="V102" s="2" t="n">
        <x:v>0</x:v>
      </x:c>
      <x:c r="W102" s="2" t="str">
        <x:v>NR</x:v>
      </x:c>
      <x:c r="X102" s="2" t="str">
        <x:v>NR</x:v>
      </x:c>
      <x:c r="Y102" s="2" t="str">
        <x:v>NR</x:v>
      </x:c>
      <x:c r="Z102" s="2" t="str">
        <x:v>NA</x:v>
      </x:c>
      <x:c r="AA102" s="2" t="str">
        <x:v>No</x:v>
      </x:c>
      <x:c r="AB102" s="2" t="str">
        <x:v>No</x:v>
      </x:c>
      <x:c r="AC102" s="6" t="str">
        <x:v>p. 6; Section 5.2.5 Implementation Details</x:v>
      </x:c>
      <x:c r="AD102" s="6" t="str">
        <x:v>we utilize the OpenAI API version 0.28.0 to access both GPT-3.5 and GPT-4 models, specifying the model configuration as ’Completion’ and selecting ’gpt-3.5-turbo-16k’ and ’gpt-4’ as the model variants. We set the temperature parameter to 0</x:v>
      </x:c>
    </x:row>
    <x:row r="103" ht="76" customHeight="1">
      <x:c r="A103" s="2" t="str">
        <x:v>S08</x:v>
      </x:c>
      <x:c r="B103" s="2" t="str">
        <x:v>2024</x:v>
      </x:c>
      <x:c r="C103" s="2" t="str">
        <x:v>Published</x:v>
      </x:c>
      <x:c r="D103" s="6" t="str">
        <x:v>Supporting High-Level to Low-Level Requirements Coverage Reviewing with Large Language Models</x:v>
      </x:c>
      <x:c r="E103" s="2" t="str">
        <x:v>S08-MU07</x:v>
      </x:c>
      <x:c r="F103" s="2" t="str">
        <x:v>S08-O04</x:v>
      </x:c>
      <x:c r="G103" s="2" t="str">
        <x:v>S08-T01</x:v>
      </x:c>
      <x:c r="H103" s="2" t="str">
        <x:v>GPT-4</x:v>
      </x:c>
      <x:c r="I103" s="2" t="str">
        <x:v>GPT-4</x:v>
      </x:c>
      <x:c r="J103" s="2" t="str">
        <x:v>GPT</x:v>
      </x:c>
      <x:c r="K103" s="2" t="str">
        <x:v>GPT-4</x:v>
      </x:c>
      <x:c r="L103" s="2" t="str">
        <x:v>Closed</x:v>
      </x:c>
      <x:c r="M103" s="2" t="str">
        <x:v>Closed</x:v>
      </x:c>
      <x:c r="N103" s="6" t="str">
        <x:v>Reported in extraction</x:v>
      </x:c>
      <x:c r="O103" s="2" t="str">
        <x:v>Yes</x:v>
      </x:c>
      <x:c r="P103" s="2" t="str"/>
      <x:c r="Q103" s="2" t="str">
        <x:v>API</x:v>
      </x:c>
      <x:c r="R103" s="2" t="str">
        <x:v>OpenAI API</x:v>
      </x:c>
      <x:c r="S103" s="2" t="str">
        <x:v>gpt-4</x:v>
      </x:c>
      <x:c r="T103" s="2" t="str">
        <x:v>NR</x:v>
      </x:c>
      <x:c r="U103" s="2" t="str">
        <x:v>NR</x:v>
      </x:c>
      <x:c r="V103" s="2" t="n">
        <x:v>0</x:v>
      </x:c>
      <x:c r="W103" s="2" t="str">
        <x:v>NR</x:v>
      </x:c>
      <x:c r="X103" s="2" t="str">
        <x:v>NR</x:v>
      </x:c>
      <x:c r="Y103" s="2" t="str">
        <x:v>NR</x:v>
      </x:c>
      <x:c r="Z103" s="2" t="str">
        <x:v>NA</x:v>
      </x:c>
      <x:c r="AA103" s="2" t="str">
        <x:v>No</x:v>
      </x:c>
      <x:c r="AB103" s="2" t="str">
        <x:v>No</x:v>
      </x:c>
      <x:c r="AC103" s="6" t="str">
        <x:v>p. 6; Section 5.2.5 Implementation Details</x:v>
      </x:c>
      <x:c r="AD103" s="6" t="str">
        <x:v>we utilize the OpenAI API version 0.28.0 to access both GPT-3.5 and GPT-4 models, specifying the model configuration as ’Completion’ and selecting ’gpt-3.5-turbo-16k’ and ’gpt-4’ as the model variants. We set the temperature parameter to 0</x:v>
      </x:c>
    </x:row>
    <x:row r="104" ht="76" customHeight="1">
      <x:c r="A104" s="2" t="str">
        <x:v>S53</x:v>
      </x:c>
      <x:c r="B104" s="2" t="str">
        <x:v>2025</x:v>
      </x:c>
      <x:c r="C104" s="2" t="str">
        <x:v>Published</x:v>
      </x:c>
      <x:c r="D104" s="6" t="str">
        <x:v>Evaluating LLMs for Automated Requirement and Test Case Generation in Railway Signaling Systems</x:v>
      </x:c>
      <x:c r="E104" s="2" t="str">
        <x:v>S53-MU01</x:v>
      </x:c>
      <x:c r="F104" s="2" t="str">
        <x:v>S53-O01</x:v>
      </x:c>
      <x:c r="G104" s="2" t="str">
        <x:v>S53-T01</x:v>
      </x:c>
      <x:c r="H104" s="2" t="str">
        <x:v>GPT4</x:v>
      </x:c>
      <x:c r="I104" s="2" t="str">
        <x:v>GPT-4</x:v>
      </x:c>
      <x:c r="J104" s="2" t="str">
        <x:v>GPT</x:v>
      </x:c>
      <x:c r="K104" s="2" t="str">
        <x:v>GPT-4</x:v>
      </x:c>
      <x:c r="L104" s="2" t="str">
        <x:v>Closed</x:v>
      </x:c>
      <x:c r="M104" s="2" t="str">
        <x:v>Closed</x:v>
      </x:c>
      <x:c r="N104" s="6" t="str">
        <x:v>Reported in extraction</x:v>
      </x:c>
      <x:c r="O104" s="2" t="str">
        <x:v>Yes</x:v>
      </x:c>
      <x:c r="P104" s="2" t="str"/>
      <x:c r="Q104" s="2" t="str">
        <x:v>API</x:v>
      </x:c>
      <x:c r="R104" s="2" t="str">
        <x:v>Cloud API</x:v>
      </x:c>
      <x:c r="S104" s="2" t="str">
        <x:v>NR</x:v>
      </x:c>
      <x:c r="T104" s="2" t="str">
        <x:v>NR</x:v>
      </x:c>
      <x:c r="U104" s="2" t="str">
        <x:v>NR</x:v>
      </x:c>
      <x:c r="V104" s="2" t="str">
        <x:v>NR</x:v>
      </x:c>
      <x:c r="W104" s="2" t="str">
        <x:v>NR</x:v>
      </x:c>
      <x:c r="X104" s="2" t="str">
        <x:v>NR</x:v>
      </x:c>
      <x:c r="Y104" s="2" t="str">
        <x:v>NR</x:v>
      </x:c>
      <x:c r="Z104" s="2" t="str">
        <x:v>NR</x:v>
      </x:c>
      <x:c r="AA104" s="2" t="str">
        <x:v>No</x:v>
      </x:c>
      <x:c r="AB104" s="2" t="str">
        <x:v>No</x:v>
      </x:c>
      <x:c r="AC104" s="6" t="str">
        <x:v>p. 2; Section II-C</x:v>
      </x:c>
      <x:c r="AD104" s="6" t="str">
        <x:v>OpenAI's GPT4, Anthropic's Claude Sonnet 4 and Google's Gemini 2.5 Flash were considered</x:v>
      </x:c>
    </x:row>
    <x:row r="105" ht="76" customHeight="1">
      <x:c r="A105" s="2" t="str">
        <x:v>S53</x:v>
      </x:c>
      <x:c r="B105" s="2" t="str">
        <x:v>2025</x:v>
      </x:c>
      <x:c r="C105" s="2" t="str">
        <x:v>Published</x:v>
      </x:c>
      <x:c r="D105" s="6" t="str">
        <x:v>Evaluating LLMs for Automated Requirement and Test Case Generation in Railway Signaling Systems</x:v>
      </x:c>
      <x:c r="E105" s="2" t="str">
        <x:v>S53-MU04</x:v>
      </x:c>
      <x:c r="F105" s="2" t="str">
        <x:v>S53-O02</x:v>
      </x:c>
      <x:c r="G105" s="2" t="str">
        <x:v>S53-T02</x:v>
      </x:c>
      <x:c r="H105" s="2" t="str">
        <x:v>GPT4</x:v>
      </x:c>
      <x:c r="I105" s="2" t="str">
        <x:v>GPT-4</x:v>
      </x:c>
      <x:c r="J105" s="2" t="str">
        <x:v>GPT</x:v>
      </x:c>
      <x:c r="K105" s="2" t="str">
        <x:v>GPT-4</x:v>
      </x:c>
      <x:c r="L105" s="2" t="str">
        <x:v>Closed</x:v>
      </x:c>
      <x:c r="M105" s="2" t="str">
        <x:v>Closed</x:v>
      </x:c>
      <x:c r="N105" s="6" t="str">
        <x:v>Reported in extraction</x:v>
      </x:c>
      <x:c r="O105" s="2" t="str">
        <x:v>Yes</x:v>
      </x:c>
      <x:c r="P105" s="2" t="str"/>
      <x:c r="Q105" s="2" t="str">
        <x:v>API</x:v>
      </x:c>
      <x:c r="R105" s="2" t="str">
        <x:v>Cloud API</x:v>
      </x:c>
      <x:c r="S105" s="2" t="str">
        <x:v>NR</x:v>
      </x:c>
      <x:c r="T105" s="2" t="str">
        <x:v>NR</x:v>
      </x:c>
      <x:c r="U105" s="2" t="str">
        <x:v>NR</x:v>
      </x:c>
      <x:c r="V105" s="2" t="str">
        <x:v>NR</x:v>
      </x:c>
      <x:c r="W105" s="2" t="str">
        <x:v>NR</x:v>
      </x:c>
      <x:c r="X105" s="2" t="str">
        <x:v>NR</x:v>
      </x:c>
      <x:c r="Y105" s="2" t="str">
        <x:v>NR</x:v>
      </x:c>
      <x:c r="Z105" s="2" t="str">
        <x:v>NR</x:v>
      </x:c>
      <x:c r="AA105" s="2" t="str">
        <x:v>No</x:v>
      </x:c>
      <x:c r="AB105" s="2" t="str">
        <x:v>No</x:v>
      </x:c>
      <x:c r="AC105" s="6" t="str">
        <x:v>p. 2; Section II-C</x:v>
      </x:c>
      <x:c r="AD105" s="6" t="str">
        <x:v>OpenAI's GPT4, Anthropic's Claude Sonnet 4 and Google's Gemini 2.5 Flash were considered</x:v>
      </x:c>
    </x:row>
    <x:row r="106" ht="76" customHeight="1">
      <x:c r="A106" s="2" t="str">
        <x:v>S53</x:v>
      </x:c>
      <x:c r="B106" s="2" t="str">
        <x:v>2025</x:v>
      </x:c>
      <x:c r="C106" s="2" t="str">
        <x:v>Published</x:v>
      </x:c>
      <x:c r="D106" s="6" t="str">
        <x:v>Evaluating LLMs for Automated Requirement and Test Case Generation in Railway Signaling Systems</x:v>
      </x:c>
      <x:c r="E106" s="2" t="str">
        <x:v>S53-MU07</x:v>
      </x:c>
      <x:c r="F106" s="2" t="str">
        <x:v>S53-O03</x:v>
      </x:c>
      <x:c r="G106" s="2" t="str">
        <x:v>S53-T03</x:v>
      </x:c>
      <x:c r="H106" s="2" t="str">
        <x:v>GPT4</x:v>
      </x:c>
      <x:c r="I106" s="2" t="str">
        <x:v>GPT-4</x:v>
      </x:c>
      <x:c r="J106" s="2" t="str">
        <x:v>GPT</x:v>
      </x:c>
      <x:c r="K106" s="2" t="str">
        <x:v>GPT-4</x:v>
      </x:c>
      <x:c r="L106" s="2" t="str">
        <x:v>Closed</x:v>
      </x:c>
      <x:c r="M106" s="2" t="str">
        <x:v>Closed</x:v>
      </x:c>
      <x:c r="N106" s="6" t="str">
        <x:v>Reported in extraction</x:v>
      </x:c>
      <x:c r="O106" s="2" t="str">
        <x:v>Yes</x:v>
      </x:c>
      <x:c r="P106" s="2" t="str"/>
      <x:c r="Q106" s="2" t="str">
        <x:v>API</x:v>
      </x:c>
      <x:c r="R106" s="2" t="str">
        <x:v>Cloud API</x:v>
      </x:c>
      <x:c r="S106" s="2" t="str">
        <x:v>NR</x:v>
      </x:c>
      <x:c r="T106" s="2" t="str">
        <x:v>NR</x:v>
      </x:c>
      <x:c r="U106" s="2" t="str">
        <x:v>NR</x:v>
      </x:c>
      <x:c r="V106" s="2" t="str">
        <x:v>NR</x:v>
      </x:c>
      <x:c r="W106" s="2" t="str">
        <x:v>NR</x:v>
      </x:c>
      <x:c r="X106" s="2" t="str">
        <x:v>NR</x:v>
      </x:c>
      <x:c r="Y106" s="2" t="str">
        <x:v>NR</x:v>
      </x:c>
      <x:c r="Z106" s="2" t="str">
        <x:v>NR</x:v>
      </x:c>
      <x:c r="AA106" s="2" t="str">
        <x:v>No</x:v>
      </x:c>
      <x:c r="AB106" s="2" t="str">
        <x:v>No</x:v>
      </x:c>
      <x:c r="AC106" s="6" t="str">
        <x:v>p. 2; Section II-C</x:v>
      </x:c>
      <x:c r="AD106" s="6" t="str">
        <x:v>OpenAI's GPT4, Anthropic's Claude Sonnet 4 and Google's Gemini 2.5 Flash were considered</x:v>
      </x:c>
    </x:row>
    <x:row r="107" ht="76" customHeight="1">
      <x:c r="A107" s="2" t="str">
        <x:v>S53</x:v>
      </x:c>
      <x:c r="B107" s="2" t="str">
        <x:v>2025</x:v>
      </x:c>
      <x:c r="C107" s="2" t="str">
        <x:v>Published</x:v>
      </x:c>
      <x:c r="D107" s="6" t="str">
        <x:v>Evaluating LLMs for Automated Requirement and Test Case Generation in Railway Signaling Systems</x:v>
      </x:c>
      <x:c r="E107" s="2" t="str">
        <x:v>S53-MU10</x:v>
      </x:c>
      <x:c r="F107" s="2" t="str">
        <x:v>S53-O04</x:v>
      </x:c>
      <x:c r="G107" s="2" t="str">
        <x:v>S53-T04</x:v>
      </x:c>
      <x:c r="H107" s="2" t="str">
        <x:v>GPT4</x:v>
      </x:c>
      <x:c r="I107" s="2" t="str">
        <x:v>GPT-4</x:v>
      </x:c>
      <x:c r="J107" s="2" t="str">
        <x:v>GPT</x:v>
      </x:c>
      <x:c r="K107" s="2" t="str">
        <x:v>GPT-4</x:v>
      </x:c>
      <x:c r="L107" s="2" t="str">
        <x:v>Closed</x:v>
      </x:c>
      <x:c r="M107" s="2" t="str">
        <x:v>Closed</x:v>
      </x:c>
      <x:c r="N107" s="6" t="str">
        <x:v>Reported in extraction</x:v>
      </x:c>
      <x:c r="O107" s="2" t="str">
        <x:v>Yes</x:v>
      </x:c>
      <x:c r="P107" s="2" t="str"/>
      <x:c r="Q107" s="2" t="str">
        <x:v>API</x:v>
      </x:c>
      <x:c r="R107" s="2" t="str">
        <x:v>Cloud API</x:v>
      </x:c>
      <x:c r="S107" s="2" t="str">
        <x:v>NR</x:v>
      </x:c>
      <x:c r="T107" s="2" t="str">
        <x:v>NR</x:v>
      </x:c>
      <x:c r="U107" s="2" t="str">
        <x:v>NR</x:v>
      </x:c>
      <x:c r="V107" s="2" t="str">
        <x:v>NR</x:v>
      </x:c>
      <x:c r="W107" s="2" t="str">
        <x:v>NR</x:v>
      </x:c>
      <x:c r="X107" s="2" t="str">
        <x:v>NR</x:v>
      </x:c>
      <x:c r="Y107" s="2" t="str">
        <x:v>NR</x:v>
      </x:c>
      <x:c r="Z107" s="2" t="str">
        <x:v>NR</x:v>
      </x:c>
      <x:c r="AA107" s="2" t="str">
        <x:v>No</x:v>
      </x:c>
      <x:c r="AB107" s="2" t="str">
        <x:v>No</x:v>
      </x:c>
      <x:c r="AC107" s="6" t="str">
        <x:v>p. 2; Section II-C</x:v>
      </x:c>
      <x:c r="AD107" s="6" t="str">
        <x:v>OpenAI's GPT4, Anthropic's Claude Sonnet 4 and Google's Gemini 2.5 Flash were considered</x:v>
      </x:c>
    </x:row>
    <x:row r="108" ht="76" customHeight="1">
      <x:c r="A108" s="2" t="str">
        <x:v>S02</x:v>
      </x:c>
      <x:c r="B108" s="2" t="str">
        <x:v>2026</x:v>
      </x:c>
      <x:c r="C108" s="2" t="str">
        <x:v>Published</x:v>
      </x:c>
      <x:c r="D108" s="6" t="str">
        <x:v>Who's Who? LLM-assisted Software Traceability with Architecture Entity Recognition</x:v>
      </x:c>
      <x:c r="E108" s="2" t="str">
        <x:v>S02-MU03</x:v>
      </x:c>
      <x:c r="F108" s="2" t="str">
        <x:v>S02-O01</x:v>
      </x:c>
      <x:c r="G108" s="2" t="str">
        <x:v>S02-T01</x:v>
      </x:c>
      <x:c r="H108" s="2" t="str">
        <x:v>GPT-4 Turbo</x:v>
      </x:c>
      <x:c r="I108" s="2" t="str">
        <x:v>GPT-4 Turbo</x:v>
      </x:c>
      <x:c r="J108" s="2" t="str">
        <x:v>GPT</x:v>
      </x:c>
      <x:c r="K108" s="2" t="str">
        <x:v>GPT-4 Turbo</x:v>
      </x:c>
      <x:c r="L108" s="2" t="str">
        <x:v>Closed</x:v>
      </x:c>
      <x:c r="M108" s="2" t="str">
        <x:v>Closed</x:v>
      </x:c>
      <x:c r="N108" s="6" t="str">
        <x:v>Reported in extraction</x:v>
      </x:c>
      <x:c r="O108" s="2" t="str">
        <x:v>Yes</x:v>
      </x:c>
      <x:c r="P108" s="2" t="str"/>
      <x:c r="Q108" s="2" t="str">
        <x:v>API</x:v>
      </x:c>
      <x:c r="R108" s="2" t="str">
        <x:v>NR</x:v>
      </x:c>
      <x:c r="S108" s="2" t="str">
        <x:v>NR</x:v>
      </x:c>
      <x:c r="T108" s="2" t="str">
        <x:v>NR</x:v>
      </x:c>
      <x:c r="U108" s="2" t="str">
        <x:v>NR</x:v>
      </x:c>
      <x:c r="V108" s="2" t="n">
        <x:v>0</x:v>
      </x:c>
      <x:c r="W108" s="2" t="str">
        <x:v>NR</x:v>
      </x:c>
      <x:c r="X108" s="2" t="n">
        <x:v>1</x:v>
      </x:c>
      <x:c r="Y108" s="2" t="str">
        <x:v>NR</x:v>
      </x:c>
      <x:c r="Z108" s="2" t="str">
        <x:v>NR</x:v>
      </x:c>
      <x:c r="AA108" s="2" t="str">
        <x:v>No</x:v>
      </x:c>
      <x:c r="AB108" s="2" t="str">
        <x:v>No</x:v>
      </x:c>
      <x:c r="AC108" s="6" t="str">
        <x:v>p. 10; Section 5.1; Section 5.5</x:v>
      </x:c>
      <x:c r="AD108" s="6" t="str">
        <x:v>mini, GPT-4o, GPT-4 Turbo, GPT-4, and GPT-3.5 Turbo. As local models, we use Codellama 13b, Meta AI Llama 3.1 8b, and Meta AI Llama 3.1 70b.</x:v>
      </x:c>
    </x:row>
    <x:row r="109" ht="76" customHeight="1">
      <x:c r="A109" s="2" t="str">
        <x:v>S02</x:v>
      </x:c>
      <x:c r="B109" s="2" t="str">
        <x:v>2026</x:v>
      </x:c>
      <x:c r="C109" s="2" t="str">
        <x:v>Published</x:v>
      </x:c>
      <x:c r="D109" s="6" t="str">
        <x:v>Who's Who? LLM-assisted Software Traceability with Architecture Entity Recognition</x:v>
      </x:c>
      <x:c r="E109" s="2" t="str">
        <x:v>S02-MU10</x:v>
      </x:c>
      <x:c r="F109" s="2" t="str">
        <x:v>S02-O03</x:v>
      </x:c>
      <x:c r="G109" s="2" t="str">
        <x:v>S02-T02</x:v>
      </x:c>
      <x:c r="H109" s="2" t="str">
        <x:v>GPT-4.1</x:v>
      </x:c>
      <x:c r="I109" s="2" t="str">
        <x:v>GPT-4.1</x:v>
      </x:c>
      <x:c r="J109" s="2" t="str">
        <x:v>GPT</x:v>
      </x:c>
      <x:c r="K109" s="2" t="str">
        <x:v>GPT-4.1</x:v>
      </x:c>
      <x:c r="L109" s="2" t="str">
        <x:v>Closed</x:v>
      </x:c>
      <x:c r="M109" s="2" t="str">
        <x:v>Closed</x:v>
      </x:c>
      <x:c r="N109" s="6" t="str">
        <x:v>Reported in extraction</x:v>
      </x:c>
      <x:c r="O109" s="2" t="str">
        <x:v>Yes</x:v>
      </x:c>
      <x:c r="P109" s="2" t="str"/>
      <x:c r="Q109" s="2" t="str">
        <x:v>API</x:v>
      </x:c>
      <x:c r="R109" s="2" t="str">
        <x:v>NR</x:v>
      </x:c>
      <x:c r="S109" s="2" t="str">
        <x:v>NR</x:v>
      </x:c>
      <x:c r="T109" s="2" t="str">
        <x:v>NR</x:v>
      </x:c>
      <x:c r="U109" s="2" t="str">
        <x:v>NR</x:v>
      </x:c>
      <x:c r="V109" s="2" t="n">
        <x:v>0</x:v>
      </x:c>
      <x:c r="W109" s="2" t="str">
        <x:v>NR</x:v>
      </x:c>
      <x:c r="X109" s="2" t="n">
        <x:v>5</x:v>
      </x:c>
      <x:c r="Y109" s="2" t="str">
        <x:v>NR</x:v>
      </x:c>
      <x:c r="Z109" s="2" t="str">
        <x:v>NR</x:v>
      </x:c>
      <x:c r="AA109" s="2" t="str">
        <x:v>No</x:v>
      </x:c>
      <x:c r="AB109" s="2" t="str">
        <x:v>No</x:v>
      </x:c>
      <x:c r="AC109" s="6" t="str">
        <x:v>p. 18; Section 5.4.2; Section 5.5</x:v>
      </x:c>
      <x:c r="AD109" s="6" t="str">
        <x:v>LLMs: GPT-4o, GPT-4.1, and GPT-5. Since ArTEMiS does not produce deterministic results, we run each configuration five times and report average results with standard deviation. Table 8 shows the results of our evaluation. The best ArTEMiS</x:v>
      </x:c>
    </x:row>
    <x:row r="110" ht="76" customHeight="1">
      <x:c r="A110" s="2" t="str">
        <x:v>S02</x:v>
      </x:c>
      <x:c r="B110" s="2" t="str">
        <x:v>2026</x:v>
      </x:c>
      <x:c r="C110" s="2" t="str">
        <x:v>Published</x:v>
      </x:c>
      <x:c r="D110" s="6" t="str">
        <x:v>Who's Who? LLM-assisted Software Traceability with Architecture Entity Recognition</x:v>
      </x:c>
      <x:c r="E110" s="2" t="str">
        <x:v>S02-MU13</x:v>
      </x:c>
      <x:c r="F110" s="2" t="str">
        <x:v>S02-O03</x:v>
      </x:c>
      <x:c r="G110" s="2" t="str">
        <x:v>S02-T03</x:v>
      </x:c>
      <x:c r="H110" s="2" t="str">
        <x:v>GPT-4.1</x:v>
      </x:c>
      <x:c r="I110" s="2" t="str">
        <x:v>GPT-4.1</x:v>
      </x:c>
      <x:c r="J110" s="2" t="str">
        <x:v>GPT</x:v>
      </x:c>
      <x:c r="K110" s="2" t="str">
        <x:v>GPT-4.1</x:v>
      </x:c>
      <x:c r="L110" s="2" t="str">
        <x:v>Closed</x:v>
      </x:c>
      <x:c r="M110" s="2" t="str">
        <x:v>Closed</x:v>
      </x:c>
      <x:c r="N110" s="6" t="str">
        <x:v>Reported in extraction</x:v>
      </x:c>
      <x:c r="O110" s="2" t="str">
        <x:v>Yes</x:v>
      </x:c>
      <x:c r="P110" s="2" t="str"/>
      <x:c r="Q110" s="2" t="str">
        <x:v>API</x:v>
      </x:c>
      <x:c r="R110" s="2" t="str">
        <x:v>NR</x:v>
      </x:c>
      <x:c r="S110" s="2" t="str">
        <x:v>NR</x:v>
      </x:c>
      <x:c r="T110" s="2" t="str">
        <x:v>NR</x:v>
      </x:c>
      <x:c r="U110" s="2" t="str">
        <x:v>NR</x:v>
      </x:c>
      <x:c r="V110" s="2" t="n">
        <x:v>0</x:v>
      </x:c>
      <x:c r="W110" s="2" t="str">
        <x:v>NR</x:v>
      </x:c>
      <x:c r="X110" s="2" t="n">
        <x:v>5</x:v>
      </x:c>
      <x:c r="Y110" s="2" t="str">
        <x:v>NR</x:v>
      </x:c>
      <x:c r="Z110" s="2" t="str">
        <x:v>NR</x:v>
      </x:c>
      <x:c r="AA110" s="2" t="str">
        <x:v>No</x:v>
      </x:c>
      <x:c r="AB110" s="2" t="str">
        <x:v>No</x:v>
      </x:c>
      <x:c r="AC110" s="6" t="str">
        <x:v>p. 18; Section 5.4.2; Section 5.5</x:v>
      </x:c>
      <x:c r="AD110" s="6" t="str">
        <x:v>LLMs: GPT-4o, GPT-4.1, and GPT-5. Since ArTEMiS does not produce deterministic results, we run each configuration five times and report average results with standard deviation. Table 8 shows the results of our evaluation. The best ArTEMiS</x:v>
      </x:c>
    </x:row>
    <x:row r="111" ht="76" customHeight="1">
      <x:c r="A111" s="2" t="str">
        <x:v>S01</x:v>
      </x:c>
      <x:c r="B111" s="2" t="str">
        <x:v>2025</x:v>
      </x:c>
      <x:c r="C111" s="2" t="str">
        <x:v>Published</x:v>
      </x:c>
      <x:c r="D111" s="6" t="str">
        <x:v>LiSSA: Toward Generic Traceability Link Recovery Through Retrieval- Augmented Generation</x:v>
      </x:c>
      <x:c r="E111" s="2" t="str">
        <x:v>S01-MU01</x:v>
      </x:c>
      <x:c r="F111" s="2" t="str">
        <x:v>S01-O03</x:v>
      </x:c>
      <x:c r="G111" s="2" t="str">
        <x:v>S01-T01</x:v>
      </x:c>
      <x:c r="H111" s="2" t="str">
        <x:v>GPT-4o (gpt-4o-2024-05-13)</x:v>
      </x:c>
      <x:c r="I111" s="2" t="str">
        <x:v>gpt-4o-2024-05-13</x:v>
      </x:c>
      <x:c r="J111" s="2" t="str">
        <x:v>GPT</x:v>
      </x:c>
      <x:c r="K111" s="2" t="str">
        <x:v>GPT-4o</x:v>
      </x:c>
      <x:c r="L111" s="2" t="str">
        <x:v>Closed</x:v>
      </x:c>
      <x:c r="M111" s="2" t="str">
        <x:v>Closed</x:v>
      </x:c>
      <x:c r="N111" s="6" t="str">
        <x:v>Reported in extraction</x:v>
      </x:c>
      <x:c r="O111" s="2" t="str">
        <x:v>Yes</x:v>
      </x:c>
      <x:c r="P111" s="2" t="str"/>
      <x:c r="Q111" s="2" t="str">
        <x:v>API</x:v>
      </x:c>
      <x:c r="R111" s="2" t="str">
        <x:v>API</x:v>
      </x:c>
      <x:c r="S111" s="2" t="str">
        <x:v>2024-05-13</x:v>
      </x:c>
      <x:c r="T111" s="2" t="str">
        <x:v>NR</x:v>
      </x:c>
      <x:c r="U111" s="2" t="str">
        <x:v>NR</x:v>
      </x:c>
      <x:c r="V111" s="2" t="n">
        <x:v>0</x:v>
      </x:c>
      <x:c r="W111" s="2" t="str">
        <x:v>NR</x:v>
      </x:c>
      <x:c r="X111" s="2" t="str">
        <x:v>NR</x:v>
      </x:c>
      <x:c r="Y111" s="2" t="str">
        <x:v>NR</x:v>
      </x:c>
      <x:c r="Z111" s="2" t="str">
        <x:v>NR</x:v>
      </x:c>
      <x:c r="AA111" s="2" t="str">
        <x:v>Yes</x:v>
      </x:c>
      <x:c r="AB111" s="2" t="str">
        <x:v>No</x:v>
      </x:c>
      <x:c r="AC111" s="6" t="str">
        <x:v>p. 7; Section IV-D</x:v>
      </x:c>
      <x:c r="AD111" s="6" t="str">
        <x:v>For the Large Language Model for classification, we use GPT-4o (gpt-4o-2024-05-13) and GPT-4o mini (gpt-4o-mini-</x:v>
      </x:c>
    </x:row>
    <x:row r="112" ht="76" customHeight="1">
      <x:c r="A112" s="2" t="str">
        <x:v>S02</x:v>
      </x:c>
      <x:c r="B112" s="2" t="str">
        <x:v>2026</x:v>
      </x:c>
      <x:c r="C112" s="2" t="str">
        <x:v>Published</x:v>
      </x:c>
      <x:c r="D112" s="6" t="str">
        <x:v>Who's Who? LLM-assisted Software Traceability with Architecture Entity Recognition</x:v>
      </x:c>
      <x:c r="E112" s="2" t="str">
        <x:v>S02-MU02</x:v>
      </x:c>
      <x:c r="F112" s="2" t="str">
        <x:v>S02-O01</x:v>
      </x:c>
      <x:c r="G112" s="2" t="str">
        <x:v>S02-T01</x:v>
      </x:c>
      <x:c r="H112" s="2" t="str">
        <x:v>GPT-4o</x:v>
      </x:c>
      <x:c r="I112" s="2" t="str">
        <x:v>GPT-4o</x:v>
      </x:c>
      <x:c r="J112" s="2" t="str">
        <x:v>GPT</x:v>
      </x:c>
      <x:c r="K112" s="2" t="str">
        <x:v>GPT-4o</x:v>
      </x:c>
      <x:c r="L112" s="2" t="str">
        <x:v>Closed</x:v>
      </x:c>
      <x:c r="M112" s="2" t="str">
        <x:v>Closed</x:v>
      </x:c>
      <x:c r="N112" s="6" t="str">
        <x:v>Reported in extraction</x:v>
      </x:c>
      <x:c r="O112" s="2" t="str">
        <x:v>Yes</x:v>
      </x:c>
      <x:c r="P112" s="2" t="str"/>
      <x:c r="Q112" s="2" t="str">
        <x:v>API</x:v>
      </x:c>
      <x:c r="R112" s="2" t="str">
        <x:v>NR</x:v>
      </x:c>
      <x:c r="S112" s="2" t="str">
        <x:v>NR</x:v>
      </x:c>
      <x:c r="T112" s="2" t="str">
        <x:v>NR</x:v>
      </x:c>
      <x:c r="U112" s="2" t="str">
        <x:v>NR</x:v>
      </x:c>
      <x:c r="V112" s="2" t="n">
        <x:v>0</x:v>
      </x:c>
      <x:c r="W112" s="2" t="str">
        <x:v>NR</x:v>
      </x:c>
      <x:c r="X112" s="2" t="n">
        <x:v>1</x:v>
      </x:c>
      <x:c r="Y112" s="2" t="str">
        <x:v>NR</x:v>
      </x:c>
      <x:c r="Z112" s="2" t="str">
        <x:v>NR</x:v>
      </x:c>
      <x:c r="AA112" s="2" t="str">
        <x:v>No</x:v>
      </x:c>
      <x:c r="AB112" s="2" t="str">
        <x:v>No</x:v>
      </x:c>
      <x:c r="AC112" s="6" t="str">
        <x:v>p. 10; Section 5.1; Section 5.5</x:v>
      </x:c>
      <x:c r="AD112" s="6" t="str">
        <x:v>mini, GPT-4o, GPT-4 Turbo, GPT-4, and GPT-3.5 Turbo. As local models, we use Codellama 13b, Meta AI Llama 3.1 8b, and Meta AI Llama 3.1 70b.</x:v>
      </x:c>
    </x:row>
    <x:row r="113" ht="76" customHeight="1">
      <x:c r="A113" s="2" t="str">
        <x:v>S02</x:v>
      </x:c>
      <x:c r="B113" s="2" t="str">
        <x:v>2026</x:v>
      </x:c>
      <x:c r="C113" s="2" t="str">
        <x:v>Published</x:v>
      </x:c>
      <x:c r="D113" s="6" t="str">
        <x:v>Who's Who? LLM-assisted Software Traceability with Architecture Entity Recognition</x:v>
      </x:c>
      <x:c r="E113" s="2" t="str">
        <x:v>S02-MU09</x:v>
      </x:c>
      <x:c r="F113" s="2" t="str">
        <x:v>S02-O03</x:v>
      </x:c>
      <x:c r="G113" s="2" t="str">
        <x:v>S02-T02</x:v>
      </x:c>
      <x:c r="H113" s="2" t="str">
        <x:v>GPT-4o</x:v>
      </x:c>
      <x:c r="I113" s="2" t="str">
        <x:v>GPT-4o</x:v>
      </x:c>
      <x:c r="J113" s="2" t="str">
        <x:v>GPT</x:v>
      </x:c>
      <x:c r="K113" s="2" t="str">
        <x:v>GPT-4o</x:v>
      </x:c>
      <x:c r="L113" s="2" t="str">
        <x:v>Closed</x:v>
      </x:c>
      <x:c r="M113" s="2" t="str">
        <x:v>Closed</x:v>
      </x:c>
      <x:c r="N113" s="6" t="str">
        <x:v>Reported in extraction</x:v>
      </x:c>
      <x:c r="O113" s="2" t="str">
        <x:v>Yes</x:v>
      </x:c>
      <x:c r="P113" s="2" t="str"/>
      <x:c r="Q113" s="2" t="str">
        <x:v>API</x:v>
      </x:c>
      <x:c r="R113" s="2" t="str">
        <x:v>NR</x:v>
      </x:c>
      <x:c r="S113" s="2" t="str">
        <x:v>NR</x:v>
      </x:c>
      <x:c r="T113" s="2" t="str">
        <x:v>NR</x:v>
      </x:c>
      <x:c r="U113" s="2" t="str">
        <x:v>NR</x:v>
      </x:c>
      <x:c r="V113" s="2" t="n">
        <x:v>0</x:v>
      </x:c>
      <x:c r="W113" s="2" t="str">
        <x:v>NR</x:v>
      </x:c>
      <x:c r="X113" s="2" t="n">
        <x:v>5</x:v>
      </x:c>
      <x:c r="Y113" s="2" t="str">
        <x:v>NR</x:v>
      </x:c>
      <x:c r="Z113" s="2" t="str">
        <x:v>NR</x:v>
      </x:c>
      <x:c r="AA113" s="2" t="str">
        <x:v>No</x:v>
      </x:c>
      <x:c r="AB113" s="2" t="str">
        <x:v>No</x:v>
      </x:c>
      <x:c r="AC113" s="6" t="str">
        <x:v>p. 18; Section 5.4.2; Section 5.5</x:v>
      </x:c>
      <x:c r="AD113" s="6" t="str">
        <x:v>LLMs: GPT-4o, GPT-4.1, and GPT-5. Since ArTEMiS does not produce deterministic results, we run each configuration five times and report average results with standard deviation. Table 8 shows the results of our evaluation. The best ArTEMiS</x:v>
      </x:c>
    </x:row>
    <x:row r="114" ht="76" customHeight="1">
      <x:c r="A114" s="2" t="str">
        <x:v>S02</x:v>
      </x:c>
      <x:c r="B114" s="2" t="str">
        <x:v>2026</x:v>
      </x:c>
      <x:c r="C114" s="2" t="str">
        <x:v>Published</x:v>
      </x:c>
      <x:c r="D114" s="6" t="str">
        <x:v>Who's Who? LLM-assisted Software Traceability with Architecture Entity Recognition</x:v>
      </x:c>
      <x:c r="E114" s="2" t="str">
        <x:v>S02-MU12</x:v>
      </x:c>
      <x:c r="F114" s="2" t="str">
        <x:v>S02-O03</x:v>
      </x:c>
      <x:c r="G114" s="2" t="str">
        <x:v>S02-T03</x:v>
      </x:c>
      <x:c r="H114" s="2" t="str">
        <x:v>GPT-4o</x:v>
      </x:c>
      <x:c r="I114" s="2" t="str">
        <x:v>GPT-4o</x:v>
      </x:c>
      <x:c r="J114" s="2" t="str">
        <x:v>GPT</x:v>
      </x:c>
      <x:c r="K114" s="2" t="str">
        <x:v>GPT-4o</x:v>
      </x:c>
      <x:c r="L114" s="2" t="str">
        <x:v>Closed</x:v>
      </x:c>
      <x:c r="M114" s="2" t="str">
        <x:v>Closed</x:v>
      </x:c>
      <x:c r="N114" s="6" t="str">
        <x:v>Reported in extraction</x:v>
      </x:c>
      <x:c r="O114" s="2" t="str">
        <x:v>Yes</x:v>
      </x:c>
      <x:c r="P114" s="2" t="str"/>
      <x:c r="Q114" s="2" t="str">
        <x:v>API</x:v>
      </x:c>
      <x:c r="R114" s="2" t="str">
        <x:v>NR</x:v>
      </x:c>
      <x:c r="S114" s="2" t="str">
        <x:v>NR</x:v>
      </x:c>
      <x:c r="T114" s="2" t="str">
        <x:v>NR</x:v>
      </x:c>
      <x:c r="U114" s="2" t="str">
        <x:v>NR</x:v>
      </x:c>
      <x:c r="V114" s="2" t="n">
        <x:v>0</x:v>
      </x:c>
      <x:c r="W114" s="2" t="str">
        <x:v>NR</x:v>
      </x:c>
      <x:c r="X114" s="2" t="n">
        <x:v>5</x:v>
      </x:c>
      <x:c r="Y114" s="2" t="str">
        <x:v>NR</x:v>
      </x:c>
      <x:c r="Z114" s="2" t="str">
        <x:v>NR</x:v>
      </x:c>
      <x:c r="AA114" s="2" t="str">
        <x:v>No</x:v>
      </x:c>
      <x:c r="AB114" s="2" t="str">
        <x:v>No</x:v>
      </x:c>
      <x:c r="AC114" s="6" t="str">
        <x:v>p. 18; Section 5.4.2; Section 5.5</x:v>
      </x:c>
      <x:c r="AD114" s="6" t="str">
        <x:v>LLMs: GPT-4o, GPT-4.1, and GPT-5. Since ArTEMiS does not produce deterministic results, we run each configuration five times and report average results with standard deviation. Table 8 shows the results of our evaluation. The best ArTEMiS</x:v>
      </x:c>
    </x:row>
    <x:row r="115" ht="76" customHeight="1">
      <x:c r="A115" s="2" t="str">
        <x:v>S05</x:v>
      </x:c>
      <x:c r="B115" s="2" t="str">
        <x:v>2026</x:v>
      </x:c>
      <x:c r="C115" s="2" t="str">
        <x:v>Published</x:v>
      </x:c>
      <x:c r="D115" s="6" t="str">
        <x:v>Evaluating the Use of LLMs for Documentation to Code Traceability</x:v>
      </x:c>
      <x:c r="E115" s="2" t="str">
        <x:v>S05-MU04</x:v>
      </x:c>
      <x:c r="F115" s="2" t="str">
        <x:v>S05-O03</x:v>
      </x:c>
      <x:c r="G115" s="2" t="str">
        <x:v>S05-T01</x:v>
      </x:c>
      <x:c r="H115" s="2" t="str">
        <x:v>GPT-4o</x:v>
      </x:c>
      <x:c r="I115" s="2" t="str">
        <x:v>gpt-4o-2024-08-06</x:v>
      </x:c>
      <x:c r="J115" s="2" t="str">
        <x:v>GPT</x:v>
      </x:c>
      <x:c r="K115" s="2" t="str">
        <x:v>GPT-4o</x:v>
      </x:c>
      <x:c r="L115" s="2" t="str">
        <x:v>Closed</x:v>
      </x:c>
      <x:c r="M115" s="2" t="str">
        <x:v>Closed</x:v>
      </x:c>
      <x:c r="N115" s="6" t="str">
        <x:v>Reported in extraction</x:v>
      </x:c>
      <x:c r="O115" s="2" t="str">
        <x:v>Yes</x:v>
      </x:c>
      <x:c r="P115" s="2" t="str"/>
      <x:c r="Q115" s="2" t="str">
        <x:v>API</x:v>
      </x:c>
      <x:c r="R115" s="2" t="str">
        <x:v>Cloud API</x:v>
      </x:c>
      <x:c r="S115" s="2" t="str">
        <x:v>gpt-4o-2024-08-06</x:v>
      </x:c>
      <x:c r="T115" s="2" t="str">
        <x:v>NR</x:v>
      </x:c>
      <x:c r="U115" s="2" t="str">
        <x:v>NR</x:v>
      </x:c>
      <x:c r="V115" s="2" t="str">
        <x:v>NR</x:v>
      </x:c>
      <x:c r="W115" s="2" t="str">
        <x:v>NR</x:v>
      </x:c>
      <x:c r="X115" s="2" t="n">
        <x:v>5</x:v>
      </x:c>
      <x:c r="Y115" s="2" t="str">
        <x:v>128k</x:v>
      </x:c>
      <x:c r="Z115" s="2" t="str">
        <x:v>NR</x:v>
      </x:c>
      <x:c r="AA115" s="2" t="str">
        <x:v>No</x:v>
      </x:c>
      <x:c r="AB115" s="2" t="str">
        <x:v>No</x:v>
      </x:c>
      <x:c r="AC115" s="6" t="str">
        <x:v>p. 6; Section 3.1</x:v>
      </x:c>
      <x:c r="AD115" s="6" t="str">
        <x:v>OpenAI GPT-4o (gpt-4o-2024-08-06): Selected as OpenAI’s flagship model at the time, known for its strong general performance across various tasks, including code. It offers a 128k token context window</x:v>
      </x:c>
    </x:row>
    <x:row r="116" ht="76" customHeight="1">
      <x:c r="A116" s="2" t="str">
        <x:v>S05</x:v>
      </x:c>
      <x:c r="B116" s="2" t="str">
        <x:v>2026</x:v>
      </x:c>
      <x:c r="C116" s="2" t="str">
        <x:v>Published</x:v>
      </x:c>
      <x:c r="D116" s="6" t="str">
        <x:v>Evaluating the Use of LLMs for Documentation to Code Traceability</x:v>
      </x:c>
      <x:c r="E116" s="2" t="str">
        <x:v>S05-MU05</x:v>
      </x:c>
      <x:c r="F116" s="2" t="str">
        <x:v>S05-O03</x:v>
      </x:c>
      <x:c r="G116" s="2" t="str">
        <x:v>S05-T02</x:v>
      </x:c>
      <x:c r="H116" s="2" t="str">
        <x:v>GPT-4o</x:v>
      </x:c>
      <x:c r="I116" s="2" t="str">
        <x:v>gpt-4o-2024-08-06</x:v>
      </x:c>
      <x:c r="J116" s="2" t="str">
        <x:v>GPT</x:v>
      </x:c>
      <x:c r="K116" s="2" t="str">
        <x:v>GPT-4o</x:v>
      </x:c>
      <x:c r="L116" s="2" t="str">
        <x:v>Closed</x:v>
      </x:c>
      <x:c r="M116" s="2" t="str">
        <x:v>Closed</x:v>
      </x:c>
      <x:c r="N116" s="6" t="str">
        <x:v>Reported in extraction</x:v>
      </x:c>
      <x:c r="O116" s="2" t="str">
        <x:v>Yes</x:v>
      </x:c>
      <x:c r="P116" s="2" t="str"/>
      <x:c r="Q116" s="2" t="str">
        <x:v>API</x:v>
      </x:c>
      <x:c r="R116" s="2" t="str">
        <x:v>Cloud API</x:v>
      </x:c>
      <x:c r="S116" s="2" t="str">
        <x:v>gpt-4o-2024-08-06</x:v>
      </x:c>
      <x:c r="T116" s="2" t="str">
        <x:v>NR</x:v>
      </x:c>
      <x:c r="U116" s="2" t="str">
        <x:v>NR</x:v>
      </x:c>
      <x:c r="V116" s="2" t="str">
        <x:v>NR</x:v>
      </x:c>
      <x:c r="W116" s="2" t="str">
        <x:v>NR</x:v>
      </x:c>
      <x:c r="X116" s="2" t="n">
        <x:v>5</x:v>
      </x:c>
      <x:c r="Y116" s="2" t="str">
        <x:v>128k</x:v>
      </x:c>
      <x:c r="Z116" s="2" t="str">
        <x:v>NR</x:v>
      </x:c>
      <x:c r="AA116" s="2" t="str">
        <x:v>No</x:v>
      </x:c>
      <x:c r="AB116" s="2" t="str">
        <x:v>No</x:v>
      </x:c>
      <x:c r="AC116" s="6" t="str">
        <x:v>p. 6; Section 3.1</x:v>
      </x:c>
      <x:c r="AD116" s="6" t="str">
        <x:v>OpenAI GPT-4o (gpt-4o-2024-08-06): Selected as OpenAI’s flagship model at the time, known for its strong general performance across various tasks, including code. It offers a 128k token context window</x:v>
      </x:c>
    </x:row>
    <x:row r="117" ht="76" customHeight="1">
      <x:c r="A117" s="2" t="str">
        <x:v>S05</x:v>
      </x:c>
      <x:c r="B117" s="2" t="str">
        <x:v>2026</x:v>
      </x:c>
      <x:c r="C117" s="2" t="str">
        <x:v>Published</x:v>
      </x:c>
      <x:c r="D117" s="6" t="str">
        <x:v>Evaluating the Use of LLMs for Documentation to Code Traceability</x:v>
      </x:c>
      <x:c r="E117" s="2" t="str">
        <x:v>S05-MU06</x:v>
      </x:c>
      <x:c r="F117" s="2" t="str">
        <x:v>S05-O03</x:v>
      </x:c>
      <x:c r="G117" s="2" t="str">
        <x:v>S05-T03</x:v>
      </x:c>
      <x:c r="H117" s="2" t="str">
        <x:v>GPT-4o</x:v>
      </x:c>
      <x:c r="I117" s="2" t="str">
        <x:v>gpt-4o-2024-08-06</x:v>
      </x:c>
      <x:c r="J117" s="2" t="str">
        <x:v>GPT</x:v>
      </x:c>
      <x:c r="K117" s="2" t="str">
        <x:v>GPT-4o</x:v>
      </x:c>
      <x:c r="L117" s="2" t="str">
        <x:v>Closed</x:v>
      </x:c>
      <x:c r="M117" s="2" t="str">
        <x:v>Closed</x:v>
      </x:c>
      <x:c r="N117" s="6" t="str">
        <x:v>Reported in extraction</x:v>
      </x:c>
      <x:c r="O117" s="2" t="str">
        <x:v>Yes</x:v>
      </x:c>
      <x:c r="P117" s="2" t="str"/>
      <x:c r="Q117" s="2" t="str">
        <x:v>API</x:v>
      </x:c>
      <x:c r="R117" s="2" t="str">
        <x:v>Cloud API</x:v>
      </x:c>
      <x:c r="S117" s="2" t="str">
        <x:v>gpt-4o-2024-08-06</x:v>
      </x:c>
      <x:c r="T117" s="2" t="str">
        <x:v>NR</x:v>
      </x:c>
      <x:c r="U117" s="2" t="str">
        <x:v>NR</x:v>
      </x:c>
      <x:c r="V117" s="2" t="str">
        <x:v>NR</x:v>
      </x:c>
      <x:c r="W117" s="2" t="str">
        <x:v>NR</x:v>
      </x:c>
      <x:c r="X117" s="2" t="n">
        <x:v>5</x:v>
      </x:c>
      <x:c r="Y117" s="2" t="str">
        <x:v>128k</x:v>
      </x:c>
      <x:c r="Z117" s="2" t="str">
        <x:v>NR</x:v>
      </x:c>
      <x:c r="AA117" s="2" t="str">
        <x:v>No</x:v>
      </x:c>
      <x:c r="AB117" s="2" t="str">
        <x:v>No</x:v>
      </x:c>
      <x:c r="AC117" s="6" t="str">
        <x:v>p. 6; Section 3.1</x:v>
      </x:c>
      <x:c r="AD117" s="6" t="str">
        <x:v>OpenAI GPT-4o (gpt-4o-2024-08-06): Selected as OpenAI’s flagship model at the time, known for its strong general performance across various tasks, including code. It offers a 128k token context window</x:v>
      </x:c>
    </x:row>
    <x:row r="118" ht="76" customHeight="1">
      <x:c r="A118" s="2" t="str">
        <x:v>S12</x:v>
      </x:c>
      <x:c r="B118" s="2" t="str">
        <x:v>2026</x:v>
      </x:c>
      <x:c r="C118" s="2" t="str">
        <x:v>Published</x:v>
      </x:c>
      <x:c r="D118" s="6" t="str">
        <x:v>TraceLLM: Leveraging Large Language Models with Prompt Engineering for Enhanced Requirements Traceability</x:v>
      </x:c>
      <x:c r="E118" s="2" t="str">
        <x:v>S12-MU02</x:v>
      </x:c>
      <x:c r="F118" s="2" t="str">
        <x:v>S12-O01</x:v>
      </x:c>
      <x:c r="G118" s="2" t="str">
        <x:v>S12-T01</x:v>
      </x:c>
      <x:c r="H118" s="2" t="str">
        <x:v>gpt-4o</x:v>
      </x:c>
      <x:c r="I118" s="2" t="str">
        <x:v>GPT-4o</x:v>
      </x:c>
      <x:c r="J118" s="2" t="str">
        <x:v>GPT</x:v>
      </x:c>
      <x:c r="K118" s="2" t="str">
        <x:v>GPT-4o</x:v>
      </x:c>
      <x:c r="L118" s="2" t="str">
        <x:v>Closed</x:v>
      </x:c>
      <x:c r="M118" s="2" t="str">
        <x:v>Closed</x:v>
      </x:c>
      <x:c r="N118" s="6" t="str">
        <x:v>Reported in extraction</x:v>
      </x:c>
      <x:c r="O118" s="2" t="str">
        <x:v>Yes</x:v>
      </x:c>
      <x:c r="P118" s="2" t="str"/>
      <x:c r="Q118" s="2" t="str">
        <x:v>API</x:v>
      </x:c>
      <x:c r="R118" s="2" t="str">
        <x:v>OpenRouter</x:v>
      </x:c>
      <x:c r="S118" s="2" t="str">
        <x:v>gpt-4o</x:v>
      </x:c>
      <x:c r="T118" s="2" t="str">
        <x:v>NR</x:v>
      </x:c>
      <x:c r="U118" s="2" t="str">
        <x:v>NR</x:v>
      </x:c>
      <x:c r="V118" s="2" t="n">
        <x:v>0</x:v>
      </x:c>
      <x:c r="W118" s="2" t="str">
        <x:v>NR</x:v>
      </x:c>
      <x:c r="X118" s="2" t="str">
        <x:v>NR</x:v>
      </x:c>
      <x:c r="Y118" s="2" t="str">
        <x:v>NR</x:v>
      </x:c>
      <x:c r="Z118" s="2" t="str">
        <x:v>NR</x:v>
      </x:c>
      <x:c r="AA118" s="2" t="str">
        <x:v>Yes</x:v>
      </x:c>
      <x:c r="AB118" s="2" t="str">
        <x:v>No</x:v>
      </x:c>
      <x:c r="AC118" s="6" t="str">
        <x:v>p. 19; Section 5.4</x:v>
      </x:c>
      <x:c r="AD118"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row>
    <x:row r="119" ht="76" customHeight="1">
      <x:c r="A119" s="2" t="str">
        <x:v>S13</x:v>
      </x:c>
      <x:c r="B119" s="2" t="str">
        <x:v>2025</x:v>
      </x:c>
      <x:c r="C119" s="2" t="str">
        <x:v>Published</x:v>
      </x:c>
      <x:c r="D119" s="6" t="str">
        <x:v>Synergistic Enhancement of Requirement-to-Code Traceability: A Framework Combining Large Language Model based Data Augmentation and an Advanced Encoder</x:v>
      </x:c>
      <x:c r="E119" s="2" t="str">
        <x:v>S13-MU04</x:v>
      </x:c>
      <x:c r="F119" s="2" t="str">
        <x:v>S13-O01</x:v>
      </x:c>
      <x:c r="G119" s="2" t="str">
        <x:v>S13-T01</x:v>
      </x:c>
      <x:c r="H119" s="2" t="str">
        <x:v>GPT-4o</x:v>
      </x:c>
      <x:c r="I119" s="2" t="str">
        <x:v>GPT-4o</x:v>
      </x:c>
      <x:c r="J119" s="2" t="str">
        <x:v>GPT</x:v>
      </x:c>
      <x:c r="K119" s="2" t="str">
        <x:v>GPT-4o</x:v>
      </x:c>
      <x:c r="L119" s="2" t="str">
        <x:v>Closed</x:v>
      </x:c>
      <x:c r="M119" s="2" t="str">
        <x:v>Closed</x:v>
      </x:c>
      <x:c r="N119" s="6" t="str">
        <x:v>Reported in extraction</x:v>
      </x:c>
      <x:c r="O119" s="2" t="str">
        <x:v>Yes</x:v>
      </x:c>
      <x:c r="P119" s="2" t="str"/>
      <x:c r="Q119" s="2" t="str">
        <x:v>API</x:v>
      </x:c>
      <x:c r="R119" s="2" t="str">
        <x:v>NR</x:v>
      </x:c>
      <x:c r="S119" s="2" t="str">
        <x:v>4o</x:v>
      </x:c>
      <x:c r="T119" s="2" t="str">
        <x:v>NR</x:v>
      </x:c>
      <x:c r="U119" s="2" t="str">
        <x:v>NR</x:v>
      </x:c>
      <x:c r="V119" s="2" t="str">
        <x:v>NR</x:v>
      </x:c>
      <x:c r="W119" s="2" t="str">
        <x:v>NR</x:v>
      </x:c>
      <x:c r="X119" s="2" t="str">
        <x:v>NR</x:v>
      </x:c>
      <x:c r="Y119" s="2" t="str">
        <x:v>NR</x:v>
      </x:c>
      <x:c r="Z119" s="2" t="str">
        <x:v>NR</x:v>
      </x:c>
      <x:c r="AA119" s="2" t="str">
        <x:v>No</x:v>
      </x:c>
      <x:c r="AB119" s="2" t="str">
        <x:v>No</x:v>
      </x:c>
      <x:c r="AC119" s="6" t="str">
        <x:v>p. 18; Section 4.2</x:v>
      </x:c>
      <x:c r="AD119" s="6" t="str">
        <x:v>For the data augmentation task, we utilized a panel of four leading, closed-source LLMs</x:v>
      </x:c>
    </x:row>
    <x:row r="120" ht="76" customHeight="1">
      <x:c r="A120" s="2" t="str">
        <x:v>S13</x:v>
      </x:c>
      <x:c r="B120" s="2" t="str">
        <x:v>2025</x:v>
      </x:c>
      <x:c r="C120" s="2" t="str">
        <x:v>Published</x:v>
      </x:c>
      <x:c r="D120" s="6" t="str">
        <x:v>Synergistic Enhancement of Requirement-to-Code Traceability: A Framework Combining Large Language Model based Data Augmentation and an Advanced Encoder</x:v>
      </x:c>
      <x:c r="E120" s="2" t="str">
        <x:v>S13-MU08</x:v>
      </x:c>
      <x:c r="F120" s="2" t="str">
        <x:v>S13-O02</x:v>
      </x:c>
      <x:c r="G120" s="2" t="str">
        <x:v>S13-T01</x:v>
      </x:c>
      <x:c r="H120" s="2" t="str">
        <x:v>GPT-4o</x:v>
      </x:c>
      <x:c r="I120" s="2" t="str">
        <x:v>GPT-4o</x:v>
      </x:c>
      <x:c r="J120" s="2" t="str">
        <x:v>GPT</x:v>
      </x:c>
      <x:c r="K120" s="2" t="str">
        <x:v>GPT-4o</x:v>
      </x:c>
      <x:c r="L120" s="2" t="str">
        <x:v>Closed</x:v>
      </x:c>
      <x:c r="M120" s="2" t="str">
        <x:v>Closed</x:v>
      </x:c>
      <x:c r="N120" s="6" t="str">
        <x:v>Reported in extraction</x:v>
      </x:c>
      <x:c r="O120" s="2" t="str">
        <x:v>Yes</x:v>
      </x:c>
      <x:c r="P120" s="2" t="str"/>
      <x:c r="Q120" s="2" t="str">
        <x:v>API</x:v>
      </x:c>
      <x:c r="R120" s="2" t="str">
        <x:v>NR</x:v>
      </x:c>
      <x:c r="S120" s="2" t="str">
        <x:v>4o</x:v>
      </x:c>
      <x:c r="T120" s="2" t="str">
        <x:v>NR</x:v>
      </x:c>
      <x:c r="U120" s="2" t="str">
        <x:v>NR</x:v>
      </x:c>
      <x:c r="V120" s="2" t="str">
        <x:v>NR</x:v>
      </x:c>
      <x:c r="W120" s="2" t="str">
        <x:v>NR</x:v>
      </x:c>
      <x:c r="X120" s="2" t="str">
        <x:v>NR</x:v>
      </x:c>
      <x:c r="Y120" s="2" t="str">
        <x:v>NR</x:v>
      </x:c>
      <x:c r="Z120" s="2" t="str">
        <x:v>NR</x:v>
      </x:c>
      <x:c r="AA120" s="2" t="str">
        <x:v>No</x:v>
      </x:c>
      <x:c r="AB120" s="2" t="str">
        <x:v>No</x:v>
      </x:c>
      <x:c r="AC120" s="6" t="str">
        <x:v>p. 18; Section 4.2</x:v>
      </x:c>
      <x:c r="AD120" s="6" t="str">
        <x:v>For the data augmentation task, we utilized a panel of four leading, closed-source LLMs</x:v>
      </x:c>
    </x:row>
    <x:row r="121" ht="76" customHeight="1">
      <x:c r="A121" s="2" t="str">
        <x:v>S15</x:v>
      </x:c>
      <x:c r="B121" s="2" t="str">
        <x:v>2025</x:v>
      </x:c>
      <x:c r="C121" s="2" t="str">
        <x:v>Published</x:v>
      </x:c>
      <x:c r="D121" s="6" t="str">
        <x:v>Generative Goal Modeling</x:v>
      </x:c>
      <x:c r="E121" s="2" t="str">
        <x:v>S15-MU01</x:v>
      </x:c>
      <x:c r="F121" s="2" t="str">
        <x:v>S15-O01</x:v>
      </x:c>
      <x:c r="G121" s="2" t="str">
        <x:v>S15-T01</x:v>
      </x:c>
      <x:c r="H121" s="2" t="str">
        <x:v>gpt-4o-2024-08-06</x:v>
      </x:c>
      <x:c r="I121" s="2" t="str">
        <x:v>gpt-4o</x:v>
      </x:c>
      <x:c r="J121" s="2" t="str">
        <x:v>GPT</x:v>
      </x:c>
      <x:c r="K121" s="2" t="str">
        <x:v>GPT-4o</x:v>
      </x:c>
      <x:c r="L121" s="2" t="str">
        <x:v>Closed</x:v>
      </x:c>
      <x:c r="M121" s="2" t="str">
        <x:v>Closed</x:v>
      </x:c>
      <x:c r="N121" s="6" t="str">
        <x:v>Reported in extraction</x:v>
      </x:c>
      <x:c r="O121" s="2" t="str">
        <x:v>Yes</x:v>
      </x:c>
      <x:c r="P121" s="2" t="str"/>
      <x:c r="Q121" s="2" t="str">
        <x:v>API</x:v>
      </x:c>
      <x:c r="R121" s="2" t="str">
        <x:v>API</x:v>
      </x:c>
      <x:c r="S121" s="2" t="str">
        <x:v>2024-08-06</x:v>
      </x:c>
      <x:c r="T121" s="2" t="str">
        <x:v>NR</x:v>
      </x:c>
      <x:c r="U121" s="2" t="str">
        <x:v>NR</x:v>
      </x:c>
      <x:c r="V121" s="2" t="n">
        <x:v>1</x:v>
      </x:c>
      <x:c r="W121" s="2" t="str">
        <x:v>NR</x:v>
      </x:c>
      <x:c r="X121" s="2" t="str">
        <x:v>NA</x:v>
      </x:c>
      <x:c r="Y121" s="2" t="str">
        <x:v>NR</x:v>
      </x:c>
      <x:c r="Z121" s="2" t="str">
        <x:v>NR</x:v>
      </x:c>
      <x:c r="AA121" s="2" t="str">
        <x:v>No</x:v>
      </x:c>
      <x:c r="AB121" s="2" t="str">
        <x:v>No</x:v>
      </x:c>
      <x:c r="AC121" s="6" t="str">
        <x:v>p. 2; Section III</x:v>
      </x:c>
      <x:c r="AD121" s="6" t="str">
        <x:v>code representations of goal models. For the experiments reported in this paper, we use the OpenAI model gpt-4o-202408-06 with temperature = 1.0, unless otherwise noted.</x:v>
      </x:c>
    </x:row>
    <x:row r="122" ht="76" customHeight="1">
      <x:c r="A122" s="2" t="str">
        <x:v>S15</x:v>
      </x:c>
      <x:c r="B122" s="2" t="str">
        <x:v>2025</x:v>
      </x:c>
      <x:c r="C122" s="2" t="str">
        <x:v>Published</x:v>
      </x:c>
      <x:c r="D122" s="6" t="str">
        <x:v>Generative Goal Modeling</x:v>
      </x:c>
      <x:c r="E122" s="2" t="str">
        <x:v>S15-MU02</x:v>
      </x:c>
      <x:c r="F122" s="2" t="str">
        <x:v>S15-O02</x:v>
      </x:c>
      <x:c r="G122" s="2" t="str">
        <x:v>S15-T01</x:v>
      </x:c>
      <x:c r="H122" s="2" t="str">
        <x:v>gpt-4o-2024-08-06</x:v>
      </x:c>
      <x:c r="I122" s="2" t="str">
        <x:v>gpt-4o</x:v>
      </x:c>
      <x:c r="J122" s="2" t="str">
        <x:v>GPT</x:v>
      </x:c>
      <x:c r="K122" s="2" t="str">
        <x:v>GPT-4o</x:v>
      </x:c>
      <x:c r="L122" s="2" t="str">
        <x:v>Closed</x:v>
      </x:c>
      <x:c r="M122" s="2" t="str">
        <x:v>Closed</x:v>
      </x:c>
      <x:c r="N122" s="6" t="str">
        <x:v>Reported in extraction</x:v>
      </x:c>
      <x:c r="O122" s="2" t="str">
        <x:v>Yes</x:v>
      </x:c>
      <x:c r="P122" s="2" t="str"/>
      <x:c r="Q122" s="2" t="str">
        <x:v>API</x:v>
      </x:c>
      <x:c r="R122" s="2" t="str">
        <x:v>API</x:v>
      </x:c>
      <x:c r="S122" s="2" t="str">
        <x:v>2024-08-06</x:v>
      </x:c>
      <x:c r="T122" s="2" t="str">
        <x:v>NR</x:v>
      </x:c>
      <x:c r="U122" s="2" t="str">
        <x:v>NR</x:v>
      </x:c>
      <x:c r="V122" s="2" t="n">
        <x:v>1</x:v>
      </x:c>
      <x:c r="W122" s="2" t="str">
        <x:v>NR</x:v>
      </x:c>
      <x:c r="X122" s="2" t="str">
        <x:v>NA</x:v>
      </x:c>
      <x:c r="Y122" s="2" t="str">
        <x:v>NR</x:v>
      </x:c>
      <x:c r="Z122" s="2" t="str">
        <x:v>NR</x:v>
      </x:c>
      <x:c r="AA122" s="2" t="str">
        <x:v>No</x:v>
      </x:c>
      <x:c r="AB122" s="2" t="str">
        <x:v>No</x:v>
      </x:c>
      <x:c r="AC122" s="6" t="str">
        <x:v>p. 2; Section III</x:v>
      </x:c>
      <x:c r="AD122" s="6" t="str">
        <x:v>code representations of goal models. For the experiments reported in this paper, we use the OpenAI model gpt-4o-202408-06 with temperature = 1.0, unless otherwise noted.</x:v>
      </x:c>
    </x:row>
    <x:row r="123" ht="76" customHeight="1">
      <x:c r="A123" s="2" t="str">
        <x:v>S15</x:v>
      </x:c>
      <x:c r="B123" s="2" t="str">
        <x:v>2025</x:v>
      </x:c>
      <x:c r="C123" s="2" t="str">
        <x:v>Published</x:v>
      </x:c>
      <x:c r="D123" s="6" t="str">
        <x:v>Generative Goal Modeling</x:v>
      </x:c>
      <x:c r="E123" s="2" t="str">
        <x:v>S15-MU03</x:v>
      </x:c>
      <x:c r="F123" s="2" t="str">
        <x:v>S15-O03</x:v>
      </x:c>
      <x:c r="G123" s="2" t="str">
        <x:v>S15-T02</x:v>
      </x:c>
      <x:c r="H123" s="2" t="str">
        <x:v>gpt-4o-2024-08-06</x:v>
      </x:c>
      <x:c r="I123" s="2" t="str">
        <x:v>gpt-4o</x:v>
      </x:c>
      <x:c r="J123" s="2" t="str">
        <x:v>GPT</x:v>
      </x:c>
      <x:c r="K123" s="2" t="str">
        <x:v>GPT-4o</x:v>
      </x:c>
      <x:c r="L123" s="2" t="str">
        <x:v>Closed</x:v>
      </x:c>
      <x:c r="M123" s="2" t="str">
        <x:v>Closed</x:v>
      </x:c>
      <x:c r="N123" s="6" t="str">
        <x:v>Reported in extraction</x:v>
      </x:c>
      <x:c r="O123" s="2" t="str">
        <x:v>Yes</x:v>
      </x:c>
      <x:c r="P123" s="2" t="str"/>
      <x:c r="Q123" s="2" t="str">
        <x:v>API</x:v>
      </x:c>
      <x:c r="R123" s="2" t="str">
        <x:v>API</x:v>
      </x:c>
      <x:c r="S123" s="2" t="str">
        <x:v>2024-08-06</x:v>
      </x:c>
      <x:c r="T123" s="2" t="str">
        <x:v>NR</x:v>
      </x:c>
      <x:c r="U123" s="2" t="str">
        <x:v>NR</x:v>
      </x:c>
      <x:c r="V123" s="2" t="n">
        <x:v>1</x:v>
      </x:c>
      <x:c r="W123" s="2" t="str">
        <x:v>NR</x:v>
      </x:c>
      <x:c r="X123" s="2" t="str">
        <x:v>NA</x:v>
      </x:c>
      <x:c r="Y123" s="2" t="str">
        <x:v>NR</x:v>
      </x:c>
      <x:c r="Z123" s="2" t="str">
        <x:v>NR</x:v>
      </x:c>
      <x:c r="AA123" s="2" t="str">
        <x:v>No</x:v>
      </x:c>
      <x:c r="AB123" s="2" t="str">
        <x:v>No</x:v>
      </x:c>
      <x:c r="AC123" s="6" t="str">
        <x:v>p. 2; Section III</x:v>
      </x:c>
      <x:c r="AD123" s="6" t="str">
        <x:v>code representations of goal models. For the experiments reported in this paper, we use the OpenAI model gpt-4o-202408-06 with temperature = 1.0, unless otherwise noted.</x:v>
      </x:c>
    </x:row>
    <x:row r="124" ht="76" customHeight="1">
      <x:c r="A124" s="2" t="str">
        <x:v>S16</x:v>
      </x:c>
      <x:c r="B124" s="2" t="str">
        <x:v>2025</x:v>
      </x:c>
      <x:c r="C124" s="2" t="str">
        <x:v>Published</x:v>
      </x:c>
      <x:c r="D124" s="6" t="str">
        <x:v>Back to the Basics: Rethinking Issue-Commit Linking with LLM-Assisted Retrieval</x:v>
      </x:c>
      <x:c r="E124" s="2" t="str">
        <x:v>S16-MU01</x:v>
      </x:c>
      <x:c r="F124" s="2" t="str">
        <x:v>S16-O01</x:v>
      </x:c>
      <x:c r="G124" s="2" t="str">
        <x:v>S16-T01</x:v>
      </x:c>
      <x:c r="H124" s="2" t="str">
        <x:v>gpt-4o-2024-11-20</x:v>
      </x:c>
      <x:c r="I124" s="2" t="str">
        <x:v>GPT-4o</x:v>
      </x:c>
      <x:c r="J124" s="2" t="str">
        <x:v>GPT</x:v>
      </x:c>
      <x:c r="K124" s="2" t="str">
        <x:v>GPT-4o</x:v>
      </x:c>
      <x:c r="L124" s="2" t="str">
        <x:v>Closed</x:v>
      </x:c>
      <x:c r="M124" s="2" t="str">
        <x:v>Closed</x:v>
      </x:c>
      <x:c r="N124" s="6" t="str">
        <x:v>Reported in extraction</x:v>
      </x:c>
      <x:c r="O124" s="2" t="str">
        <x:v>Yes</x:v>
      </x:c>
      <x:c r="P124" s="2" t="str"/>
      <x:c r="Q124" s="2" t="str">
        <x:v>API</x:v>
      </x:c>
      <x:c r="R124" s="2" t="str">
        <x:v>API</x:v>
      </x:c>
      <x:c r="S124" s="2" t="str">
        <x:v>2024-11-20</x:v>
      </x:c>
      <x:c r="T124" s="2" t="str">
        <x:v>NR</x:v>
      </x:c>
      <x:c r="U124" s="2" t="str">
        <x:v>Unclear</x:v>
      </x:c>
      <x:c r="V124" s="2" t="n">
        <x:v>1</x:v>
      </x:c>
      <x:c r="W124" s="2" t="str">
        <x:v>NR</x:v>
      </x:c>
      <x:c r="X124" s="2" t="n">
        <x:v>1</x:v>
      </x:c>
      <x:c r="Y124" s="2" t="str">
        <x:v>128k</x:v>
      </x:c>
      <x:c r="Z124" s="2" t="str">
        <x:v>NR</x:v>
      </x:c>
      <x:c r="AA124" s="2" t="str">
        <x:v>No</x:v>
      </x:c>
      <x:c r="AB124" s="2" t="str">
        <x:v>No</x:v>
      </x:c>
      <x:c r="AC124" s="6" t="str">
        <x:v>p. 7; Section 5.2.2 LLM Setup</x:v>
      </x:c>
      <x:c r="AD124" s="6" t="str">
        <x:v>We utilized the ChatGPT model GPT-4o provided by OpenAI, specifically the gpt-4o-2024-11-20 version, with its default configuration.</x:v>
      </x:c>
    </x:row>
    <x:row r="125" ht="76" customHeight="1">
      <x:c r="A125" s="2" t="str">
        <x:v>S17</x:v>
      </x:c>
      <x:c r="B125" s="2" t="str">
        <x:v>2025</x:v>
      </x:c>
      <x:c r="C125" s="2" t="str">
        <x:v>Grey literature</x:v>
      </x:c>
      <x:c r="D125" s="6" t="str">
        <x:v>An LLM-Integrated Framework for Completion, Management, and Tracing of STPA</x:v>
      </x:c>
      <x:c r="E125" s="2" t="str">
        <x:v>S17-MU01</x:v>
      </x:c>
      <x:c r="F125" s="2" t="str">
        <x:v>S17-O01</x:v>
      </x:c>
      <x:c r="G125" s="2" t="str">
        <x:v>S17-T01</x:v>
      </x:c>
      <x:c r="H125" s="2" t="str">
        <x:v>GPT-4o</x:v>
      </x:c>
      <x:c r="I125" s="2" t="str">
        <x:v>gpt-4o</x:v>
      </x:c>
      <x:c r="J125" s="2" t="str">
        <x:v>GPT</x:v>
      </x:c>
      <x:c r="K125" s="2" t="str">
        <x:v>GPT-4o</x:v>
      </x:c>
      <x:c r="L125" s="2" t="str">
        <x:v>Closed</x:v>
      </x:c>
      <x:c r="M125" s="2" t="str">
        <x:v>Closed</x:v>
      </x:c>
      <x:c r="N125" s="6" t="str">
        <x:v>Reported in extraction</x:v>
      </x:c>
      <x:c r="O125" s="2" t="str">
        <x:v>Yes</x:v>
      </x:c>
      <x:c r="P125" s="2" t="str"/>
      <x:c r="Q125" s="2" t="str">
        <x:v>API</x:v>
      </x:c>
      <x:c r="R125" s="2" t="str">
        <x:v>NR</x:v>
      </x:c>
      <x:c r="S125" s="2" t="str">
        <x:v>NR</x:v>
      </x:c>
      <x:c r="T125" s="2" t="str">
        <x:v>NR</x:v>
      </x:c>
      <x:c r="U125" s="2" t="str">
        <x:v>NR</x:v>
      </x:c>
      <x:c r="V125" s="2" t="str">
        <x:v>NR</x:v>
      </x:c>
      <x:c r="W125" s="2" t="str">
        <x:v>NR</x:v>
      </x:c>
      <x:c r="X125" s="2" t="str">
        <x:v>NR</x:v>
      </x:c>
      <x:c r="Y125" s="2" t="str">
        <x:v>NR</x:v>
      </x:c>
      <x:c r="Z125" s="2" t="str">
        <x:v>NR</x:v>
      </x:c>
      <x:c r="AA125" s="2" t="str">
        <x:v>No</x:v>
      </x:c>
      <x:c r="AB125" s="2" t="str">
        <x:v>No</x:v>
      </x:c>
      <x:c r="AC125" s="6" t="str">
        <x:v>p. 4; Section IV-A</x:v>
      </x:c>
      <x:c r="AD125" s="6" t="str">
        <x:v>making full use of OpenAI’s latest vision model: GPT-4o</x:v>
      </x:c>
    </x:row>
    <x:row r="126" ht="76" customHeight="1">
      <x:c r="A126" s="2" t="str">
        <x:v>S17</x:v>
      </x:c>
      <x:c r="B126" s="2" t="str">
        <x:v>2025</x:v>
      </x:c>
      <x:c r="C126" s="2" t="str">
        <x:v>Grey literature</x:v>
      </x:c>
      <x:c r="D126" s="6" t="str">
        <x:v>An LLM-Integrated Framework for Completion, Management, and Tracing of STPA</x:v>
      </x:c>
      <x:c r="E126" s="2" t="str">
        <x:v>S17-MU02</x:v>
      </x:c>
      <x:c r="F126" s="2" t="str">
        <x:v>S17-O02</x:v>
      </x:c>
      <x:c r="G126" s="2" t="str">
        <x:v>S17-T02</x:v>
      </x:c>
      <x:c r="H126" s="2" t="str">
        <x:v>GPT-4o</x:v>
      </x:c>
      <x:c r="I126" s="2" t="str">
        <x:v>gpt-4o</x:v>
      </x:c>
      <x:c r="J126" s="2" t="str">
        <x:v>GPT</x:v>
      </x:c>
      <x:c r="K126" s="2" t="str">
        <x:v>GPT-4o</x:v>
      </x:c>
      <x:c r="L126" s="2" t="str">
        <x:v>Closed</x:v>
      </x:c>
      <x:c r="M126" s="2" t="str">
        <x:v>Closed</x:v>
      </x:c>
      <x:c r="N126" s="6" t="str">
        <x:v>Reported in extraction</x:v>
      </x:c>
      <x:c r="O126" s="2" t="str">
        <x:v>Yes</x:v>
      </x:c>
      <x:c r="P126" s="2" t="str"/>
      <x:c r="Q126" s="2" t="str">
        <x:v>API</x:v>
      </x:c>
      <x:c r="R126" s="2" t="str">
        <x:v>NR</x:v>
      </x:c>
      <x:c r="S126" s="2" t="str">
        <x:v>NR</x:v>
      </x:c>
      <x:c r="T126" s="2" t="str">
        <x:v>NR</x:v>
      </x:c>
      <x:c r="U126" s="2" t="str">
        <x:v>NR</x:v>
      </x:c>
      <x:c r="V126" s="2" t="str">
        <x:v>NR</x:v>
      </x:c>
      <x:c r="W126" s="2" t="str">
        <x:v>NR</x:v>
      </x:c>
      <x:c r="X126" s="2" t="str">
        <x:v>NR</x:v>
      </x:c>
      <x:c r="Y126" s="2" t="str">
        <x:v>NR</x:v>
      </x:c>
      <x:c r="Z126" s="2" t="str">
        <x:v>NR</x:v>
      </x:c>
      <x:c r="AA126" s="2" t="str">
        <x:v>No</x:v>
      </x:c>
      <x:c r="AB126" s="2" t="str">
        <x:v>No</x:v>
      </x:c>
      <x:c r="AC126" s="6" t="str">
        <x:v>p. 4; Section IV-A</x:v>
      </x:c>
      <x:c r="AD126" s="6" t="str">
        <x:v>making full use of OpenAI’s latest vision model: GPT-4o</x:v>
      </x:c>
    </x:row>
    <x:row r="127" ht="76" customHeight="1">
      <x:c r="A127" s="2" t="str">
        <x:v>S17</x:v>
      </x:c>
      <x:c r="B127" s="2" t="str">
        <x:v>2025</x:v>
      </x:c>
      <x:c r="C127" s="2" t="str">
        <x:v>Grey literature</x:v>
      </x:c>
      <x:c r="D127" s="6" t="str">
        <x:v>An LLM-Integrated Framework for Completion, Management, and Tracing of STPA</x:v>
      </x:c>
      <x:c r="E127" s="2" t="str">
        <x:v>S17-MU03</x:v>
      </x:c>
      <x:c r="F127" s="2" t="str">
        <x:v>S17-O03</x:v>
      </x:c>
      <x:c r="G127" s="2" t="str">
        <x:v>S17-T03</x:v>
      </x:c>
      <x:c r="H127" s="2" t="str">
        <x:v>GPT-4o</x:v>
      </x:c>
      <x:c r="I127" s="2" t="str">
        <x:v>gpt-4o</x:v>
      </x:c>
      <x:c r="J127" s="2" t="str">
        <x:v>GPT</x:v>
      </x:c>
      <x:c r="K127" s="2" t="str">
        <x:v>GPT-4o</x:v>
      </x:c>
      <x:c r="L127" s="2" t="str">
        <x:v>Closed</x:v>
      </x:c>
      <x:c r="M127" s="2" t="str">
        <x:v>Closed</x:v>
      </x:c>
      <x:c r="N127" s="6" t="str">
        <x:v>Reported in extraction</x:v>
      </x:c>
      <x:c r="O127" s="2" t="str">
        <x:v>Yes</x:v>
      </x:c>
      <x:c r="P127" s="2" t="str"/>
      <x:c r="Q127" s="2" t="str">
        <x:v>API</x:v>
      </x:c>
      <x:c r="R127" s="2" t="str">
        <x:v>NR</x:v>
      </x:c>
      <x:c r="S127" s="2" t="str">
        <x:v>NR</x:v>
      </x:c>
      <x:c r="T127" s="2" t="str">
        <x:v>NR</x:v>
      </x:c>
      <x:c r="U127" s="2" t="str">
        <x:v>NR</x:v>
      </x:c>
      <x:c r="V127" s="2" t="str">
        <x:v>NR</x:v>
      </x:c>
      <x:c r="W127" s="2" t="str">
        <x:v>NR</x:v>
      </x:c>
      <x:c r="X127" s="2" t="str">
        <x:v>NR</x:v>
      </x:c>
      <x:c r="Y127" s="2" t="str">
        <x:v>NR</x:v>
      </x:c>
      <x:c r="Z127" s="2" t="str">
        <x:v>NR</x:v>
      </x:c>
      <x:c r="AA127" s="2" t="str">
        <x:v>No</x:v>
      </x:c>
      <x:c r="AB127" s="2" t="str">
        <x:v>No</x:v>
      </x:c>
      <x:c r="AC127" s="6" t="str">
        <x:v>p. 4; Section IV-A</x:v>
      </x:c>
      <x:c r="AD127" s="6" t="str">
        <x:v>making full use of OpenAI’s latest vision model: GPT-4o</x:v>
      </x:c>
    </x:row>
    <x:row r="128" ht="76" customHeight="1">
      <x:c r="A128" s="2" t="str">
        <x:v>S18</x:v>
      </x:c>
      <x:c r="B128" s="2" t="str">
        <x:v>2025</x:v>
      </x:c>
      <x:c r="C128" s="2" t="str">
        <x:v>Published</x:v>
      </x:c>
      <x:c r="D128" s="6" t="str">
        <x:v>Classifier or Prompt: A Case Study on Legal Requirements Traceability</x:v>
      </x:c>
      <x:c r="E128" s="2" t="str">
        <x:v>S18-MU01</x:v>
      </x:c>
      <x:c r="F128" s="2" t="str">
        <x:v>S18-O01</x:v>
      </x:c>
      <x:c r="G128" s="2" t="str">
        <x:v>S18-T01</x:v>
      </x:c>
      <x:c r="H128" s="2" t="str">
        <x:v>GPT-4o</x:v>
      </x:c>
      <x:c r="I128" s="2" t="str">
        <x:v>gpt-4o</x:v>
      </x:c>
      <x:c r="J128" s="2" t="str">
        <x:v>GPT</x:v>
      </x:c>
      <x:c r="K128" s="2" t="str">
        <x:v>GPT-4o</x:v>
      </x:c>
      <x:c r="L128" s="2" t="str">
        <x:v>Closed</x:v>
      </x:c>
      <x:c r="M128" s="2" t="str">
        <x:v>Closed</x:v>
      </x:c>
      <x:c r="N128" s="6" t="str">
        <x:v>Reported in extraction</x:v>
      </x:c>
      <x:c r="O128" s="2" t="str">
        <x:v>Yes</x:v>
      </x:c>
      <x:c r="P128" s="2" t="str"/>
      <x:c r="Q128" s="2" t="str">
        <x:v>API</x:v>
      </x:c>
      <x:c r="R128" s="2" t="str">
        <x:v>NR</x:v>
      </x:c>
      <x:c r="S128" s="2" t="str">
        <x:v>Unclear</x:v>
      </x:c>
      <x:c r="T128" s="2" t="str">
        <x:v>NR</x:v>
      </x:c>
      <x:c r="U128" s="2" t="str">
        <x:v>NR</x:v>
      </x:c>
      <x:c r="V128" s="2" t="n">
        <x:v>0</x:v>
      </x:c>
      <x:c r="W128" s="2" t="n">
        <x:v>16</x:v>
      </x:c>
      <x:c r="X128" s="2" t="str">
        <x:v>NR</x:v>
      </x:c>
      <x:c r="Y128" s="2" t="str">
        <x:v>NR</x:v>
      </x:c>
      <x:c r="Z128" s="2" t="str">
        <x:v>NR</x:v>
      </x:c>
      <x:c r="AA128" s="2" t="str">
        <x:v>No</x:v>
      </x:c>
      <x:c r="AB128" s="2" t="str">
        <x:v>No</x:v>
      </x:c>
      <x:c r="AC128" s="6" t="str">
        <x:v>p. 14; Section 4.4 Implementation</x:v>
      </x:c>
      <x:c r="AD128" s="6" t="str">
        <x:v>with the following settings: a temperature of 0, a max-token of 2,000, a frequency penalty of 0, a presence penalty of 0, top p = 1, and a random seed of 16.</x:v>
      </x:c>
    </x:row>
    <x:row r="129" ht="76" customHeight="1">
      <x:c r="A129" s="2" t="str">
        <x:v>S19</x:v>
      </x:c>
      <x:c r="B129" s="2" t="str">
        <x:v>2025</x:v>
      </x:c>
      <x:c r="C129" s="2" t="str">
        <x:v>Published</x:v>
      </x:c>
      <x:c r="D129" s="6" t="str">
        <x:v>On the Impact of Requirements Smells in Prompts: The Case of Automated Traceability</x:v>
      </x:c>
      <x:c r="E129" s="2" t="str">
        <x:v>S19-MU01</x:v>
      </x:c>
      <x:c r="F129" s="2" t="str">
        <x:v>S19-O01</x:v>
      </x:c>
      <x:c r="G129" s="2" t="str">
        <x:v>S19-T01</x:v>
      </x:c>
      <x:c r="H129" s="2" t="str">
        <x:v>GPT-4o</x:v>
      </x:c>
      <x:c r="I129" s="2" t="str">
        <x:v>gpt-4o</x:v>
      </x:c>
      <x:c r="J129" s="2" t="str">
        <x:v>GPT</x:v>
      </x:c>
      <x:c r="K129" s="2" t="str">
        <x:v>GPT-4o</x:v>
      </x:c>
      <x:c r="L129" s="2" t="str">
        <x:v>Closed</x:v>
      </x:c>
      <x:c r="M129" s="2" t="str">
        <x:v>Closed</x:v>
      </x:c>
      <x:c r="N129" s="6" t="str">
        <x:v>Reported in extraction</x:v>
      </x:c>
      <x:c r="O129" s="2" t="str">
        <x:v>Yes</x:v>
      </x:c>
      <x:c r="P129" s="2" t="str"/>
      <x:c r="Q129" s="2" t="str">
        <x:v>Unclear</x:v>
      </x:c>
      <x:c r="R129" s="2" t="str">
        <x:v>NR</x:v>
      </x:c>
      <x:c r="S129" s="2" t="str">
        <x:v>gpt-4o-2024-08-06</x:v>
      </x:c>
      <x:c r="T129" s="2" t="str">
        <x:v>NR</x:v>
      </x:c>
      <x:c r="U129" s="2" t="str">
        <x:v>Unclear</x:v>
      </x:c>
      <x:c r="V129" s="2" t="n">
        <x:v>0</x:v>
      </x:c>
      <x:c r="W129" s="2" t="str">
        <x:v>NR</x:v>
      </x:c>
      <x:c r="X129" s="2" t="n">
        <x:v>5</x:v>
      </x:c>
      <x:c r="Y129" s="2" t="str">
        <x:v>128k</x:v>
      </x:c>
      <x:c r="Z129" s="2" t="str">
        <x:v>NR</x:v>
      </x:c>
      <x:c r="AA129" s="2" t="str">
        <x:v>No</x:v>
      </x:c>
      <x:c r="AB129" s="2" t="str">
        <x:v>No</x:v>
      </x:c>
      <x:c r="AC129" s="6" t="str">
        <x:v>p. 2; Section III.A</x:v>
      </x:c>
      <x:c r="AD129" s="6" t="str">
        <x:v>GPT-4o (gpt-4o-2024-08-06)</x:v>
      </x:c>
    </x:row>
    <x:row r="130" ht="76" customHeight="1">
      <x:c r="A130" s="2" t="str">
        <x:v>S20</x:v>
      </x:c>
      <x:c r="B130" s="2" t="str">
        <x:v>2024</x:v>
      </x:c>
      <x:c r="C130" s="2" t="str">
        <x:v>Grey literature</x:v>
      </x:c>
      <x:c r="D130" s="6" t="str">
        <x:v>Leveraging Graph-RAG and Prompt Engineering to Enhance LLM-Based Automated Requirement Traceability and Compliance Checks</x:v>
      </x:c>
      <x:c r="E130" s="2" t="str">
        <x:v>S20-MU01</x:v>
      </x:c>
      <x:c r="F130" s="2" t="str">
        <x:v>S20-O01</x:v>
      </x:c>
      <x:c r="G130" s="2" t="str">
        <x:v>S20-T01</x:v>
      </x:c>
      <x:c r="H130" s="2" t="str">
        <x:v>GPT-4o</x:v>
      </x:c>
      <x:c r="I130" s="2" t="str">
        <x:v>gpt-4o</x:v>
      </x:c>
      <x:c r="J130" s="2" t="str">
        <x:v>GPT</x:v>
      </x:c>
      <x:c r="K130" s="2" t="str">
        <x:v>GPT-4o</x:v>
      </x:c>
      <x:c r="L130" s="2" t="str">
        <x:v>Closed</x:v>
      </x:c>
      <x:c r="M130" s="2" t="str">
        <x:v>Closed</x:v>
      </x:c>
      <x:c r="N130" s="6" t="str">
        <x:v>Reported in extraction</x:v>
      </x:c>
      <x:c r="O130" s="2" t="str">
        <x:v>Yes</x:v>
      </x:c>
      <x:c r="P130" s="2" t="str"/>
      <x:c r="Q130" s="2" t="str">
        <x:v>API</x:v>
      </x:c>
      <x:c r="R130" s="2" t="str">
        <x:v>NR</x:v>
      </x:c>
      <x:c r="S130" s="2" t="str">
        <x:v>NR</x:v>
      </x:c>
      <x:c r="T130" s="2" t="str">
        <x:v>NR</x:v>
      </x:c>
      <x:c r="U130" s="2" t="str">
        <x:v>NR</x:v>
      </x:c>
      <x:c r="V130" s="2" t="str">
        <x:v>NR</x:v>
      </x:c>
      <x:c r="W130" s="2" t="str">
        <x:v>NR</x:v>
      </x:c>
      <x:c r="X130" s="2" t="str">
        <x:v>NR</x:v>
      </x:c>
      <x:c r="Y130" s="2" t="str">
        <x:v>NR</x:v>
      </x:c>
      <x:c r="Z130" s="2" t="str">
        <x:v>NR</x:v>
      </x:c>
      <x:c r="AA130" s="2" t="str">
        <x:v>No</x:v>
      </x:c>
      <x:c r="AB130" s="2" t="str">
        <x:v>No</x:v>
      </x:c>
      <x:c r="AC130" s="6" t="str">
        <x:v>p. 3; Introduction</x:v>
      </x:c>
      <x:c r="AD130" s="6" t="str">
        <x:v>Finally, the LLM (GPT-4o) evaluates the prompt to determine if the requirement violates the retrieved regulations.</x:v>
      </x:c>
    </x:row>
    <x:row r="131" ht="76" customHeight="1">
      <x:c r="A131" s="2" t="str">
        <x:v>S20</x:v>
      </x:c>
      <x:c r="B131" s="2" t="str">
        <x:v>2024</x:v>
      </x:c>
      <x:c r="C131" s="2" t="str">
        <x:v>Grey literature</x:v>
      </x:c>
      <x:c r="D131" s="6" t="str">
        <x:v>Leveraging Graph-RAG and Prompt Engineering to Enhance LLM-Based Automated Requirement Traceability and Compliance Checks</x:v>
      </x:c>
      <x:c r="E131" s="2" t="str">
        <x:v>S20-MU03</x:v>
      </x:c>
      <x:c r="F131" s="2" t="str">
        <x:v>S20-O02</x:v>
      </x:c>
      <x:c r="G131" s="2" t="str">
        <x:v>S20-T01</x:v>
      </x:c>
      <x:c r="H131" s="2" t="str">
        <x:v>GPT-4o</x:v>
      </x:c>
      <x:c r="I131" s="2" t="str">
        <x:v>gpt-4o</x:v>
      </x:c>
      <x:c r="J131" s="2" t="str">
        <x:v>GPT</x:v>
      </x:c>
      <x:c r="K131" s="2" t="str">
        <x:v>GPT-4o</x:v>
      </x:c>
      <x:c r="L131" s="2" t="str">
        <x:v>Closed</x:v>
      </x:c>
      <x:c r="M131" s="2" t="str">
        <x:v>Closed</x:v>
      </x:c>
      <x:c r="N131" s="6" t="str">
        <x:v>Reported in extraction</x:v>
      </x:c>
      <x:c r="O131" s="2" t="str">
        <x:v>Yes</x:v>
      </x:c>
      <x:c r="P131" s="2" t="str"/>
      <x:c r="Q131" s="2" t="str">
        <x:v>API</x:v>
      </x:c>
      <x:c r="R131" s="2" t="str">
        <x:v>NR</x:v>
      </x:c>
      <x:c r="S131" s="2" t="str">
        <x:v>NR</x:v>
      </x:c>
      <x:c r="T131" s="2" t="str">
        <x:v>NR</x:v>
      </x:c>
      <x:c r="U131" s="2" t="str">
        <x:v>NR</x:v>
      </x:c>
      <x:c r="V131" s="2" t="str">
        <x:v>NR</x:v>
      </x:c>
      <x:c r="W131" s="2" t="str">
        <x:v>NR</x:v>
      </x:c>
      <x:c r="X131" s="2" t="str">
        <x:v>NR</x:v>
      </x:c>
      <x:c r="Y131" s="2" t="str">
        <x:v>NR</x:v>
      </x:c>
      <x:c r="Z131" s="2" t="str">
        <x:v>NR</x:v>
      </x:c>
      <x:c r="AA131" s="2" t="str">
        <x:v>No</x:v>
      </x:c>
      <x:c r="AB131" s="2" t="str">
        <x:v>No</x:v>
      </x:c>
      <x:c r="AC131" s="6" t="str">
        <x:v>p. 3; Introduction</x:v>
      </x:c>
      <x:c r="AD131" s="6" t="str">
        <x:v>Finally, the LLM (GPT-4o) evaluates the prompt to determine if the requirement violates the retrieved regulations.</x:v>
      </x:c>
    </x:row>
    <x:row r="132" ht="76" customHeight="1">
      <x:c r="A132" s="2" t="str">
        <x:v>S20</x:v>
      </x:c>
      <x:c r="B132" s="2" t="str">
        <x:v>2024</x:v>
      </x:c>
      <x:c r="C132" s="2" t="str">
        <x:v>Grey literature</x:v>
      </x:c>
      <x:c r="D132" s="6" t="str">
        <x:v>Leveraging Graph-RAG and Prompt Engineering to Enhance LLM-Based Automated Requirement Traceability and Compliance Checks</x:v>
      </x:c>
      <x:c r="E132" s="2" t="str">
        <x:v>S20-MU05</x:v>
      </x:c>
      <x:c r="F132" s="2" t="str">
        <x:v>S20-O03</x:v>
      </x:c>
      <x:c r="G132" s="2" t="str">
        <x:v>S20-T01</x:v>
      </x:c>
      <x:c r="H132" s="2" t="str">
        <x:v>GPT-4o</x:v>
      </x:c>
      <x:c r="I132" s="2" t="str">
        <x:v>gpt-4o</x:v>
      </x:c>
      <x:c r="J132" s="2" t="str">
        <x:v>GPT</x:v>
      </x:c>
      <x:c r="K132" s="2" t="str">
        <x:v>GPT-4o</x:v>
      </x:c>
      <x:c r="L132" s="2" t="str">
        <x:v>Closed</x:v>
      </x:c>
      <x:c r="M132" s="2" t="str">
        <x:v>Closed</x:v>
      </x:c>
      <x:c r="N132" s="6" t="str">
        <x:v>Reported in extraction</x:v>
      </x:c>
      <x:c r="O132" s="2" t="str">
        <x:v>Yes</x:v>
      </x:c>
      <x:c r="P132" s="2" t="str"/>
      <x:c r="Q132" s="2" t="str">
        <x:v>API</x:v>
      </x:c>
      <x:c r="R132" s="2" t="str">
        <x:v>NR</x:v>
      </x:c>
      <x:c r="S132" s="2" t="str">
        <x:v>NR</x:v>
      </x:c>
      <x:c r="T132" s="2" t="str">
        <x:v>NR</x:v>
      </x:c>
      <x:c r="U132" s="2" t="str">
        <x:v>NR</x:v>
      </x:c>
      <x:c r="V132" s="2" t="str">
        <x:v>NR</x:v>
      </x:c>
      <x:c r="W132" s="2" t="str">
        <x:v>NR</x:v>
      </x:c>
      <x:c r="X132" s="2" t="str">
        <x:v>NR</x:v>
      </x:c>
      <x:c r="Y132" s="2" t="str">
        <x:v>NR</x:v>
      </x:c>
      <x:c r="Z132" s="2" t="str">
        <x:v>NR</x:v>
      </x:c>
      <x:c r="AA132" s="2" t="str">
        <x:v>No</x:v>
      </x:c>
      <x:c r="AB132" s="2" t="str">
        <x:v>No</x:v>
      </x:c>
      <x:c r="AC132" s="6" t="str">
        <x:v>p. 3; Introduction</x:v>
      </x:c>
      <x:c r="AD132" s="6" t="str">
        <x:v>Finally, the LLM (GPT-4o) evaluates the prompt to determine if the requirement violates the retrieved regulations.</x:v>
      </x:c>
    </x:row>
    <x:row r="133" ht="76" customHeight="1">
      <x:c r="A133" s="2" t="str">
        <x:v>S20</x:v>
      </x:c>
      <x:c r="B133" s="2" t="str">
        <x:v>2024</x:v>
      </x:c>
      <x:c r="C133" s="2" t="str">
        <x:v>Grey literature</x:v>
      </x:c>
      <x:c r="D133" s="6" t="str">
        <x:v>Leveraging Graph-RAG and Prompt Engineering to Enhance LLM-Based Automated Requirement Traceability and Compliance Checks</x:v>
      </x:c>
      <x:c r="E133" s="2" t="str">
        <x:v>S20-MU07</x:v>
      </x:c>
      <x:c r="F133" s="2" t="str">
        <x:v>S20-O04</x:v>
      </x:c>
      <x:c r="G133" s="2" t="str">
        <x:v>S20-T02</x:v>
      </x:c>
      <x:c r="H133" s="2" t="str">
        <x:v>GPT-4o</x:v>
      </x:c>
      <x:c r="I133" s="2" t="str">
        <x:v>gpt-4o</x:v>
      </x:c>
      <x:c r="J133" s="2" t="str">
        <x:v>GPT</x:v>
      </x:c>
      <x:c r="K133" s="2" t="str">
        <x:v>GPT-4o</x:v>
      </x:c>
      <x:c r="L133" s="2" t="str">
        <x:v>Closed</x:v>
      </x:c>
      <x:c r="M133" s="2" t="str">
        <x:v>Closed</x:v>
      </x:c>
      <x:c r="N133" s="6" t="str">
        <x:v>Reported in extraction</x:v>
      </x:c>
      <x:c r="O133" s="2" t="str">
        <x:v>Yes</x:v>
      </x:c>
      <x:c r="P133" s="2" t="str"/>
      <x:c r="Q133" s="2" t="str">
        <x:v>API</x:v>
      </x:c>
      <x:c r="R133" s="2" t="str">
        <x:v>NR</x:v>
      </x:c>
      <x:c r="S133" s="2" t="str">
        <x:v>NR</x:v>
      </x:c>
      <x:c r="T133" s="2" t="str">
        <x:v>NR</x:v>
      </x:c>
      <x:c r="U133" s="2" t="str">
        <x:v>NR</x:v>
      </x:c>
      <x:c r="V133" s="2" t="str">
        <x:v>NR</x:v>
      </x:c>
      <x:c r="W133" s="2" t="str">
        <x:v>NR</x:v>
      </x:c>
      <x:c r="X133" s="2" t="str">
        <x:v>NR</x:v>
      </x:c>
      <x:c r="Y133" s="2" t="str">
        <x:v>NR</x:v>
      </x:c>
      <x:c r="Z133" s="2" t="str">
        <x:v>NR</x:v>
      </x:c>
      <x:c r="AA133" s="2" t="str">
        <x:v>No</x:v>
      </x:c>
      <x:c r="AB133" s="2" t="str">
        <x:v>No</x:v>
      </x:c>
      <x:c r="AC133" s="6" t="str">
        <x:v>p. 3; Introduction</x:v>
      </x:c>
      <x:c r="AD133" s="6" t="str">
        <x:v>Finally, the LLM (GPT-4o) evaluates the prompt to determine if the requirement violates the retrieved regulations.</x:v>
      </x:c>
    </x:row>
    <x:row r="134" ht="76" customHeight="1">
      <x:c r="A134" s="2" t="str">
        <x:v>S27</x:v>
      </x:c>
      <x:c r="B134" s="2" t="str">
        <x:v>2025</x:v>
      </x:c>
      <x:c r="C134" s="2" t="str">
        <x:v>Published</x:v>
      </x:c>
      <x:c r="D134" s="6" t="str">
        <x:v>Beyond Retrieval: A Study of Using LLM Ensembles for Candidate Filtering in Requirements Traceability</x:v>
      </x:c>
      <x:c r="E134" s="2" t="str">
        <x:v>S27-MU06</x:v>
      </x:c>
      <x:c r="F134" s="2" t="str">
        <x:v>S27-O02</x:v>
      </x:c>
      <x:c r="G134" s="2" t="str">
        <x:v>S27-T01</x:v>
      </x:c>
      <x:c r="H134" s="2" t="str">
        <x:v>GPT-4o (gpt-4o-2024-08-06)</x:v>
      </x:c>
      <x:c r="I134" s="2" t="str">
        <x:v>GPT-4o</x:v>
      </x:c>
      <x:c r="J134" s="2" t="str">
        <x:v>GPT</x:v>
      </x:c>
      <x:c r="K134" s="2" t="str">
        <x:v>GPT-4o</x:v>
      </x:c>
      <x:c r="L134" s="2" t="str">
        <x:v>Closed</x:v>
      </x:c>
      <x:c r="M134" s="2" t="str">
        <x:v>Closed</x:v>
      </x:c>
      <x:c r="N134" s="6" t="str">
        <x:v>Reported in extraction</x:v>
      </x:c>
      <x:c r="O134" s="2" t="str">
        <x:v>Yes</x:v>
      </x:c>
      <x:c r="P134" s="2" t="str"/>
      <x:c r="Q134" s="2" t="str">
        <x:v>API</x:v>
      </x:c>
      <x:c r="R134" s="2" t="str">
        <x:v>API (OpenAI)</x:v>
      </x:c>
      <x:c r="S134" s="2" t="str">
        <x:v>gpt-4o-2024-08-06</x:v>
      </x:c>
      <x:c r="T134" s="2" t="str">
        <x:v>NR</x:v>
      </x:c>
      <x:c r="U134" s="2" t="str">
        <x:v>NR</x:v>
      </x:c>
      <x:c r="V134" s="2" t="n">
        <x:v>0</x:v>
      </x:c>
      <x:c r="W134" s="2" t="n">
        <x:v>133742243</x:v>
      </x:c>
      <x:c r="X134" s="2" t="str">
        <x:v>NR</x:v>
      </x:c>
      <x:c r="Y134" s="2" t="str">
        <x:v>NR</x:v>
      </x:c>
      <x:c r="Z134" s="2" t="str">
        <x:v>NR</x:v>
      </x:c>
      <x:c r="AA134" s="2" t="str">
        <x:v>No</x:v>
      </x:c>
      <x:c r="AB134" s="2" t="str">
        <x:v>No</x:v>
      </x:c>
      <x:c r="AC134" s="6" t="str">
        <x:v>p. 7; Section IV-B and Section IV-E</x:v>
      </x:c>
      <x:c r="AD134" s="6" t="str">
        <x:v>we fixed the random seed and set the model temperature to 0. Our results are therefore dependent on the specific seed 133742243</x:v>
      </x:c>
    </x:row>
    <x:row r="135" ht="76" customHeight="1">
      <x:c r="A135" s="2" t="str">
        <x:v>S34</x:v>
      </x:c>
      <x:c r="B135" s="2" t="str">
        <x:v>2025</x:v>
      </x:c>
      <x:c r="C135" s="2" t="str">
        <x:v>Grey literature</x:v>
      </x:c>
      <x:c r="D135" s="6" t="str">
        <x:v>Behavioral Augmentation of UML Class Diagrams: An Empirical Study of Large Language Models for Method Generation</x:v>
      </x:c>
      <x:c r="E135" s="2" t="str">
        <x:v>S34-MU06</x:v>
      </x:c>
      <x:c r="F135" s="2" t="str">
        <x:v>S34-O01</x:v>
      </x:c>
      <x:c r="G135" s="2" t="str">
        <x:v>S34-T01</x:v>
      </x:c>
      <x:c r="H135" s="2" t="str">
        <x:v>GPT-4o</x:v>
      </x:c>
      <x:c r="I135" s="2" t="str">
        <x:v>GPT-4o</x:v>
      </x:c>
      <x:c r="J135" s="2" t="str">
        <x:v>GPT</x:v>
      </x:c>
      <x:c r="K135" s="2" t="str">
        <x:v>GPT-4o</x:v>
      </x:c>
      <x:c r="L135" s="2" t="str">
        <x:v>Closed</x:v>
      </x:c>
      <x:c r="M135" s="2" t="str">
        <x:v>Closed</x:v>
      </x:c>
      <x:c r="N135" s="6" t="str">
        <x:v>Reported in extraction</x:v>
      </x:c>
      <x:c r="O135" s="2" t="str">
        <x:v>Yes</x:v>
      </x:c>
      <x:c r="P135" s="2" t="str"/>
      <x:c r="Q135" s="2" t="str">
        <x:v>NR</x:v>
      </x:c>
      <x:c r="R135" s="2" t="str">
        <x:v>NR</x:v>
      </x:c>
      <x:c r="S135" s="2" t="str">
        <x:v>4o</x:v>
      </x:c>
      <x:c r="T135" s="2" t="str">
        <x:v>Undisclosed</x:v>
      </x:c>
      <x:c r="U135" s="2" t="str">
        <x:v>NR</x:v>
      </x:c>
      <x:c r="V135" s="2" t="str">
        <x:v>NR</x:v>
      </x:c>
      <x:c r="W135" s="2" t="str">
        <x:v>NR</x:v>
      </x:c>
      <x:c r="X135" s="2" t="n">
        <x:v>10</x:v>
      </x:c>
      <x:c r="Y135" s="2" t="str">
        <x:v>128K tokens</x:v>
      </x:c>
      <x:c r="Z135" s="2" t="str">
        <x:v>NR</x:v>
      </x:c>
      <x:c r="AA135" s="2" t="str">
        <x:v>No</x:v>
      </x:c>
      <x:c r="AB135" s="2" t="str">
        <x:v>Yes</x:v>
      </x:c>
      <x:c r="AC135" s="6" t="str">
        <x:v>p. 2; Section 1, last paragraph</x:v>
      </x:c>
      <x:c r="AD135" s="6" t="str">
        <x:v>nine state-of-the-art LLMs—Claude 3.7, Gemini 2.5 Pro, Grok 3, Qwen 3, DeepSeek-R1, GPT-4o, ChatGPT-o3, Llama 4, and Mixtral 8×22B</x:v>
      </x:c>
    </x:row>
    <x:row r="136" ht="76" customHeight="1">
      <x:c r="A136" s="2" t="str">
        <x:v>S38</x:v>
      </x:c>
      <x:c r="B136" s="2" t="str">
        <x:v>2026</x:v>
      </x:c>
      <x:c r="C136" s="2" t="str">
        <x:v>Published</x:v>
      </x:c>
      <x:c r="D136" s="6" t="str">
        <x:v>LusGen: Leveraging LLMs for Safety-Critical Lustre Design and Requirements Traceability</x:v>
      </x:c>
      <x:c r="E136" s="2" t="str">
        <x:v>S38-MU02</x:v>
      </x:c>
      <x:c r="F136" s="2" t="str">
        <x:v>S38-O01</x:v>
      </x:c>
      <x:c r="G136" s="2" t="str">
        <x:v>S38-T01</x:v>
      </x:c>
      <x:c r="H136" s="2" t="str">
        <x:v>GPT-4o</x:v>
      </x:c>
      <x:c r="I136" s="2" t="str">
        <x:v>GPT-4o</x:v>
      </x:c>
      <x:c r="J136" s="2" t="str">
        <x:v>GPT</x:v>
      </x:c>
      <x:c r="K136" s="2" t="str">
        <x:v>GPT-4o</x:v>
      </x:c>
      <x:c r="L136" s="2" t="str">
        <x:v>Closed</x:v>
      </x:c>
      <x:c r="M136" s="2" t="str">
        <x:v>Closed</x:v>
      </x:c>
      <x:c r="N136" s="6" t="str">
        <x:v>Reported in extraction</x:v>
      </x:c>
      <x:c r="O136" s="2" t="str">
        <x:v>Yes</x:v>
      </x:c>
      <x:c r="P136" s="2" t="str"/>
      <x:c r="Q136" s="2" t="str">
        <x:v>API</x:v>
      </x:c>
      <x:c r="R136" s="2" t="str">
        <x:v>NR</x:v>
      </x:c>
      <x:c r="S136" s="2" t="str">
        <x:v>NR</x:v>
      </x:c>
      <x:c r="T136" s="2" t="str">
        <x:v>NR</x:v>
      </x:c>
      <x:c r="U136" s="2" t="str">
        <x:v>NR</x:v>
      </x:c>
      <x:c r="V136" s="2" t="str">
        <x:v>NR</x:v>
      </x:c>
      <x:c r="W136" s="2" t="str">
        <x:v>NR</x:v>
      </x:c>
      <x:c r="X136" s="2" t="str">
        <x:v>NR</x:v>
      </x:c>
      <x:c r="Y136" s="2" t="str">
        <x:v>NR</x:v>
      </x:c>
      <x:c r="Z136" s="2" t="str">
        <x:v>NR</x:v>
      </x:c>
      <x:c r="AA136" s="2" t="str">
        <x:v>No</x:v>
      </x:c>
      <x:c r="AB136" s="2" t="str">
        <x:v>No</x:v>
      </x:c>
      <x:c r="AC136" s="6" t="str">
        <x:v>p. 15; Table 3</x:v>
      </x:c>
      <x:c r="AD136" s="6" t="str">
        <x:v>2. GPT-4o 3. Deepseek-chat 4. Gemini2.5-flash</x:v>
      </x:c>
    </x:row>
    <x:row r="137" ht="76" customHeight="1">
      <x:c r="A137" s="2" t="str">
        <x:v>S39</x:v>
      </x:c>
      <x:c r="B137" s="2" t="str">
        <x:v>2025</x:v>
      </x:c>
      <x:c r="C137" s="2" t="str">
        <x:v>Published</x:v>
      </x:c>
      <x:c r="D137" s="6" t="str">
        <x:v>Smells Like Trouble: Investigating the Impact of Requirements Quality on LLM-Supported Software Engineering</x:v>
      </x:c>
      <x:c r="E137" s="2" t="str">
        <x:v>S39-MU01</x:v>
      </x:c>
      <x:c r="F137" s="2" t="str">
        <x:v>S39-O01</x:v>
      </x:c>
      <x:c r="G137" s="2" t="str">
        <x:v>S39-T01</x:v>
      </x:c>
      <x:c r="H137" s="2" t="str">
        <x:v>GPT 4o</x:v>
      </x:c>
      <x:c r="I137" s="2" t="str">
        <x:v>gpt-4o</x:v>
      </x:c>
      <x:c r="J137" s="2" t="str">
        <x:v>GPT</x:v>
      </x:c>
      <x:c r="K137" s="2" t="str">
        <x:v>GPT-4o</x:v>
      </x:c>
      <x:c r="L137" s="2" t="str">
        <x:v>Closed</x:v>
      </x:c>
      <x:c r="M137" s="2" t="str">
        <x:v>Closed</x:v>
      </x:c>
      <x:c r="N137" s="6" t="str">
        <x:v>Reported in extraction</x:v>
      </x:c>
      <x:c r="O137" s="2" t="str">
        <x:v>Yes</x:v>
      </x:c>
      <x:c r="P137" s="2" t="str"/>
      <x:c r="Q137" s="2" t="str">
        <x:v>API</x:v>
      </x:c>
      <x:c r="R137" s="2" t="str">
        <x:v>NR</x:v>
      </x:c>
      <x:c r="S137" s="2" t="str">
        <x:v>Unclear</x:v>
      </x:c>
      <x:c r="T137" s="2" t="str">
        <x:v>NR</x:v>
      </x:c>
      <x:c r="U137" s="2" t="str">
        <x:v>NR</x:v>
      </x:c>
      <x:c r="V137" s="2" t="str">
        <x:v>NR</x:v>
      </x:c>
      <x:c r="W137" s="2" t="str">
        <x:v>NR</x:v>
      </x:c>
      <x:c r="X137" s="2" t="str">
        <x:v>NR</x:v>
      </x:c>
      <x:c r="Y137" s="2" t="str">
        <x:v>NR</x:v>
      </x:c>
      <x:c r="Z137" s="2" t="str">
        <x:v>NR</x:v>
      </x:c>
      <x:c r="AA137" s="2" t="str">
        <x:v>No</x:v>
      </x:c>
      <x:c r="AB137" s="2" t="str">
        <x:v>No</x:v>
      </x:c>
      <x:c r="AC137" s="6" t="str">
        <x:v>p. 3; Fig. 1</x:v>
      </x:c>
      <x:c r="AD137" s="6" t="str">
        <x:v>Fig. 1: Results from a first study [5] highlighting the decreasing performance of an LLM on a tracing task with an increasing number of smelly requirements.</x:v>
      </x:c>
    </x:row>
    <x:row r="138" ht="76" customHeight="1">
      <x:c r="A138" s="2" t="str">
        <x:v>S40</x:v>
      </x:c>
      <x:c r="B138" s="2" t="str">
        <x:v>2026</x:v>
      </x:c>
      <x:c r="C138" s="2" t="str">
        <x:v>Published</x:v>
      </x:c>
      <x:c r="D138" s="6" t="str">
        <x:v>A GraphRAG-Based Dual-Path Structural Diffusion Retrieval Framework for Requirement-Code Traceability Link Recovery</x:v>
      </x:c>
      <x:c r="E138" s="2" t="str">
        <x:v>S40-MU01</x:v>
      </x:c>
      <x:c r="F138" s="2" t="str">
        <x:v>S40-O01</x:v>
      </x:c>
      <x:c r="G138" s="2" t="str">
        <x:v>S40-T01</x:v>
      </x:c>
      <x:c r="H138" s="2" t="str">
        <x:v>GPT-4o</x:v>
      </x:c>
      <x:c r="I138" s="2" t="str">
        <x:v>GPT-4o</x:v>
      </x:c>
      <x:c r="J138" s="2" t="str">
        <x:v>GPT</x:v>
      </x:c>
      <x:c r="K138" s="2" t="str">
        <x:v>GPT-4o</x:v>
      </x:c>
      <x:c r="L138" s="2" t="str">
        <x:v>Closed</x:v>
      </x:c>
      <x:c r="M138" s="2" t="str">
        <x:v>Closed</x:v>
      </x:c>
      <x:c r="N138" s="6" t="str">
        <x:v>Reported in extraction</x:v>
      </x:c>
      <x:c r="O138" s="2" t="str">
        <x:v>Yes</x:v>
      </x:c>
      <x:c r="P138" s="2" t="str"/>
      <x:c r="Q138" s="2" t="str">
        <x:v>API</x:v>
      </x:c>
      <x:c r="R138" s="2" t="str">
        <x:v>API</x:v>
      </x:c>
      <x:c r="S138" s="2" t="str">
        <x:v>Unclear</x:v>
      </x:c>
      <x:c r="T138" s="2" t="str">
        <x:v>NR</x:v>
      </x:c>
      <x:c r="U138" s="2" t="str">
        <x:v>2026-01-01</x:v>
      </x:c>
      <x:c r="V138" s="2" t="n">
        <x:v>0</x:v>
      </x:c>
      <x:c r="W138" s="2" t="str">
        <x:v>NR</x:v>
      </x:c>
      <x:c r="X138" s="2" t="str">
        <x:v>NR</x:v>
      </x:c>
      <x:c r="Y138" s="2" t="str">
        <x:v>NR</x:v>
      </x:c>
      <x:c r="Z138" s="2" t="str">
        <x:v>NR</x:v>
      </x:c>
      <x:c r="AA138" s="2" t="str">
        <x:v>Yes</x:v>
      </x:c>
      <x:c r="AB138" s="2" t="str">
        <x:v>No</x:v>
      </x:c>
      <x:c r="AC138" s="6" t="str">
        <x:v>p. 14; Section 3.4.3</x:v>
      </x:c>
      <x:c r="AD138" s="6" t="str">
        <x:v>For LLM-based structural validation and classification, we use GPT-4o as a higher-capacity validator</x:v>
      </x:c>
    </x:row>
    <x:row r="139" ht="76" customHeight="1">
      <x:c r="A139" s="2" t="str">
        <x:v>S42</x:v>
      </x:c>
      <x:c r="B139" s="2" t="str">
        <x:v>2025</x:v>
      </x:c>
      <x:c r="C139" s="2" t="str">
        <x:v>Published</x:v>
      </x:c>
      <x:c r="D139" s="6" t="str">
        <x:v>Requirements Traceability Link Recovery via Retrieval-Augmented Generation</x:v>
      </x:c>
      <x:c r="E139" s="2" t="str">
        <x:v>S42-MU01</x:v>
      </x:c>
      <x:c r="F139" s="2" t="str">
        <x:v>S42-O01</x:v>
      </x:c>
      <x:c r="G139" s="2" t="str">
        <x:v>S42-T01</x:v>
      </x:c>
      <x:c r="H139" s="2" t="str">
        <x:v>GPT-4o</x:v>
      </x:c>
      <x:c r="I139" s="2" t="str">
        <x:v>gpt-4o</x:v>
      </x:c>
      <x:c r="J139" s="2" t="str">
        <x:v>GPT</x:v>
      </x:c>
      <x:c r="K139" s="2" t="str">
        <x:v>GPT-4o</x:v>
      </x:c>
      <x:c r="L139" s="2" t="str">
        <x:v>Closed</x:v>
      </x:c>
      <x:c r="M139" s="2" t="str">
        <x:v>Closed</x:v>
      </x:c>
      <x:c r="N139" s="6" t="str">
        <x:v>Reported in extraction</x:v>
      </x:c>
      <x:c r="O139" s="2" t="str">
        <x:v>Yes</x:v>
      </x:c>
      <x:c r="P139" s="2" t="str"/>
      <x:c r="Q139" s="2" t="str">
        <x:v>API</x:v>
      </x:c>
      <x:c r="R139" s="2" t="str">
        <x:v>API</x:v>
      </x:c>
      <x:c r="S139" s="2" t="str">
        <x:v>NR</x:v>
      </x:c>
      <x:c r="T139" s="2" t="str">
        <x:v>NR</x:v>
      </x:c>
      <x:c r="U139" s="2" t="str">
        <x:v>NR</x:v>
      </x:c>
      <x:c r="V139" s="2" t="n">
        <x:v>0</x:v>
      </x:c>
      <x:c r="W139" s="2" t="str">
        <x:v>133742243</x:v>
      </x:c>
      <x:c r="X139" s="2" t="str">
        <x:v>Unclear</x:v>
      </x:c>
      <x:c r="Y139" s="2" t="str">
        <x:v>NR</x:v>
      </x:c>
      <x:c r="Z139" s="2" t="str">
        <x:v>NR</x:v>
      </x:c>
      <x:c r="AA139" s="2" t="str">
        <x:v>No</x:v>
      </x:c>
      <x:c r="AB139" s="2" t="str">
        <x:v>No</x:v>
      </x:c>
      <x:c r="AC139" s="6" t="str">
        <x:v>p. 5; Section 4.1</x:v>
      </x:c>
      <x:c r="AD139" s="6" t="str">
        <x:v>our experiments, we set the temperature of the LLMs to zero and set a fixed</x:v>
      </x:c>
    </x:row>
    <x:row r="140" ht="76" customHeight="1">
      <x:c r="A140" s="2" t="str">
        <x:v>S42</x:v>
      </x:c>
      <x:c r="B140" s="2" t="str">
        <x:v>2025</x:v>
      </x:c>
      <x:c r="C140" s="2" t="str">
        <x:v>Published</x:v>
      </x:c>
      <x:c r="D140" s="6" t="str">
        <x:v>Requirements Traceability Link Recovery via Retrieval-Augmented Generation</x:v>
      </x:c>
      <x:c r="E140" s="2" t="str">
        <x:v>S42-MU05</x:v>
      </x:c>
      <x:c r="F140" s="2" t="str">
        <x:v>S42-O01</x:v>
      </x:c>
      <x:c r="G140" s="2" t="str">
        <x:v>S42-T01</x:v>
      </x:c>
      <x:c r="H140" s="2" t="str">
        <x:v>GPT-4o</x:v>
      </x:c>
      <x:c r="I140" s="2" t="str">
        <x:v>gpt-4o</x:v>
      </x:c>
      <x:c r="J140" s="2" t="str">
        <x:v>GPT</x:v>
      </x:c>
      <x:c r="K140" s="2" t="str">
        <x:v>GPT-4o</x:v>
      </x:c>
      <x:c r="L140" s="2" t="str">
        <x:v>Closed</x:v>
      </x:c>
      <x:c r="M140" s="2" t="str">
        <x:v>Closed</x:v>
      </x:c>
      <x:c r="N140" s="6" t="str">
        <x:v>Reported in extraction</x:v>
      </x:c>
      <x:c r="O140" s="2" t="str">
        <x:v>Yes</x:v>
      </x:c>
      <x:c r="P140" s="2" t="str"/>
      <x:c r="Q140" s="2" t="str">
        <x:v>API</x:v>
      </x:c>
      <x:c r="R140" s="2" t="str">
        <x:v>API</x:v>
      </x:c>
      <x:c r="S140" s="2" t="str">
        <x:v>NR</x:v>
      </x:c>
      <x:c r="T140" s="2" t="str">
        <x:v>NR</x:v>
      </x:c>
      <x:c r="U140" s="2" t="str">
        <x:v>NR</x:v>
      </x:c>
      <x:c r="V140" s="2" t="n">
        <x:v>0</x:v>
      </x:c>
      <x:c r="W140" s="2" t="str">
        <x:v>133742243</x:v>
      </x:c>
      <x:c r="X140" s="2" t="str">
        <x:v>Unclear</x:v>
      </x:c>
      <x:c r="Y140" s="2" t="str">
        <x:v>NR</x:v>
      </x:c>
      <x:c r="Z140" s="2" t="str">
        <x:v>NR</x:v>
      </x:c>
      <x:c r="AA140" s="2" t="str">
        <x:v>No</x:v>
      </x:c>
      <x:c r="AB140" s="2" t="str">
        <x:v>No</x:v>
      </x:c>
      <x:c r="AC140" s="6" t="str">
        <x:v>p. 5; Section 4.1</x:v>
      </x:c>
      <x:c r="AD140" s="6" t="str">
        <x:v>our experiments, we set the temperature of the LLMs to zero and set a fixed</x:v>
      </x:c>
    </x:row>
    <x:row r="141" ht="76" customHeight="1">
      <x:c r="A141" s="2" t="str">
        <x:v>S45</x:v>
      </x:c>
      <x:c r="B141" s="2" t="str">
        <x:v>2025</x:v>
      </x:c>
      <x:c r="C141" s="2" t="str">
        <x:v>Published</x:v>
      </x:c>
      <x:c r="D141" s="6" t="str">
        <x:v>Evaluating the Capabilities of LLMs in Traceability Maintenance for Automotive System and Software Requirements</x:v>
      </x:c>
      <x:c r="E141" s="2" t="str">
        <x:v>S45-MU01</x:v>
      </x:c>
      <x:c r="F141" s="2" t="str">
        <x:v>S45-O01</x:v>
      </x:c>
      <x:c r="G141" s="2" t="str">
        <x:v>S45-T01</x:v>
      </x:c>
      <x:c r="H141" s="2" t="str">
        <x:v>ChatGPT-4o</x:v>
      </x:c>
      <x:c r="I141" s="2" t="str">
        <x:v>gpt-4o</x:v>
      </x:c>
      <x:c r="J141" s="2" t="str">
        <x:v>GPT</x:v>
      </x:c>
      <x:c r="K141" s="2" t="str">
        <x:v>GPT-4o</x:v>
      </x:c>
      <x:c r="L141" s="2" t="str">
        <x:v>Closed</x:v>
      </x:c>
      <x:c r="M141" s="2" t="str">
        <x:v>Closed</x:v>
      </x:c>
      <x:c r="N141" s="6" t="str">
        <x:v>Reported in extraction</x:v>
      </x:c>
      <x:c r="O141" s="2" t="str">
        <x:v>Yes</x:v>
      </x:c>
      <x:c r="P141" s="2" t="str"/>
      <x:c r="Q141" s="2" t="str">
        <x:v>Unclear</x:v>
      </x:c>
      <x:c r="R141" s="2" t="str">
        <x:v>Elmos ChatGPT-4o Workspace</x:v>
      </x:c>
      <x:c r="S141" s="2" t="str">
        <x:v>4o</x:v>
      </x:c>
      <x:c r="T141" s="2" t="str">
        <x:v>NR</x:v>
      </x:c>
      <x:c r="U141" s="2" t="str">
        <x:v>NR</x:v>
      </x:c>
      <x:c r="V141" s="2" t="str">
        <x:v>NR</x:v>
      </x:c>
      <x:c r="W141" s="2" t="str">
        <x:v>NR</x:v>
      </x:c>
      <x:c r="X141" s="2" t="n">
        <x:v>5</x:v>
      </x:c>
      <x:c r="Y141" s="2" t="str">
        <x:v>NR</x:v>
      </x:c>
      <x:c r="Z141" s="2" t="str">
        <x:v>NR</x:v>
      </x:c>
      <x:c r="AA141" s="2" t="str">
        <x:v>No</x:v>
      </x:c>
      <x:c r="AB141" s="2" t="str">
        <x:v>No</x:v>
      </x:c>
      <x:c r="AC141" s="6" t="str">
        <x:v>p. 2; Section 2</x:v>
      </x:c>
      <x:c r="AD141" s="6" t="str">
        <x:v>We used Elmos ChatGPT-4o Workspace equipped with ChatGPT-4o.</x:v>
      </x:c>
    </x:row>
    <x:row r="142" ht="76" customHeight="1">
      <x:c r="A142" s="2" t="str">
        <x:v>S45</x:v>
      </x:c>
      <x:c r="B142" s="2" t="str">
        <x:v>2025</x:v>
      </x:c>
      <x:c r="C142" s="2" t="str">
        <x:v>Published</x:v>
      </x:c>
      <x:c r="D142" s="6" t="str">
        <x:v>Evaluating the Capabilities of LLMs in Traceability Maintenance for Automotive System and Software Requirements</x:v>
      </x:c>
      <x:c r="E142" s="2" t="str">
        <x:v>S45-MU02</x:v>
      </x:c>
      <x:c r="F142" s="2" t="str">
        <x:v>S45-O02</x:v>
      </x:c>
      <x:c r="G142" s="2" t="str">
        <x:v>S45-T02</x:v>
      </x:c>
      <x:c r="H142" s="2" t="str">
        <x:v>ChatGPT-4o</x:v>
      </x:c>
      <x:c r="I142" s="2" t="str">
        <x:v>gpt-4o</x:v>
      </x:c>
      <x:c r="J142" s="2" t="str">
        <x:v>GPT</x:v>
      </x:c>
      <x:c r="K142" s="2" t="str">
        <x:v>GPT-4o</x:v>
      </x:c>
      <x:c r="L142" s="2" t="str">
        <x:v>Closed</x:v>
      </x:c>
      <x:c r="M142" s="2" t="str">
        <x:v>Closed</x:v>
      </x:c>
      <x:c r="N142" s="6" t="str">
        <x:v>Reported in extraction</x:v>
      </x:c>
      <x:c r="O142" s="2" t="str">
        <x:v>Yes</x:v>
      </x:c>
      <x:c r="P142" s="2" t="str"/>
      <x:c r="Q142" s="2" t="str">
        <x:v>Unclear</x:v>
      </x:c>
      <x:c r="R142" s="2" t="str">
        <x:v>Elmos ChatGPT-4o Workspace</x:v>
      </x:c>
      <x:c r="S142" s="2" t="str">
        <x:v>4o</x:v>
      </x:c>
      <x:c r="T142" s="2" t="str">
        <x:v>NR</x:v>
      </x:c>
      <x:c r="U142" s="2" t="str">
        <x:v>NR</x:v>
      </x:c>
      <x:c r="V142" s="2" t="str">
        <x:v>NR</x:v>
      </x:c>
      <x:c r="W142" s="2" t="str">
        <x:v>NR</x:v>
      </x:c>
      <x:c r="X142" s="2" t="str">
        <x:v>NR</x:v>
      </x:c>
      <x:c r="Y142" s="2" t="str">
        <x:v>NR</x:v>
      </x:c>
      <x:c r="Z142" s="2" t="str">
        <x:v>NR</x:v>
      </x:c>
      <x:c r="AA142" s="2" t="str">
        <x:v>No</x:v>
      </x:c>
      <x:c r="AB142" s="2" t="str">
        <x:v>No</x:v>
      </x:c>
      <x:c r="AC142" s="6" t="str">
        <x:v>p. 2; Section 2</x:v>
      </x:c>
      <x:c r="AD142" s="6" t="str">
        <x:v>We used Elmos ChatGPT-4o Workspace equipped with ChatGPT-4o.</x:v>
      </x:c>
    </x:row>
    <x:row r="143" ht="76" customHeight="1">
      <x:c r="A143" s="2" t="str">
        <x:v>S45</x:v>
      </x:c>
      <x:c r="B143" s="2" t="str">
        <x:v>2025</x:v>
      </x:c>
      <x:c r="C143" s="2" t="str">
        <x:v>Published</x:v>
      </x:c>
      <x:c r="D143" s="6" t="str">
        <x:v>Evaluating the Capabilities of LLMs in Traceability Maintenance for Automotive System and Software Requirements</x:v>
      </x:c>
      <x:c r="E143" s="2" t="str">
        <x:v>S45-MU03</x:v>
      </x:c>
      <x:c r="F143" s="2" t="str">
        <x:v>S45-O03</x:v>
      </x:c>
      <x:c r="G143" s="2" t="str">
        <x:v>S45-T03</x:v>
      </x:c>
      <x:c r="H143" s="2" t="str">
        <x:v>ChatGPT-4o</x:v>
      </x:c>
      <x:c r="I143" s="2" t="str">
        <x:v>gpt-4o</x:v>
      </x:c>
      <x:c r="J143" s="2" t="str">
        <x:v>GPT</x:v>
      </x:c>
      <x:c r="K143" s="2" t="str">
        <x:v>GPT-4o</x:v>
      </x:c>
      <x:c r="L143" s="2" t="str">
        <x:v>Closed</x:v>
      </x:c>
      <x:c r="M143" s="2" t="str">
        <x:v>Closed</x:v>
      </x:c>
      <x:c r="N143" s="6" t="str">
        <x:v>Reported in extraction</x:v>
      </x:c>
      <x:c r="O143" s="2" t="str">
        <x:v>Yes</x:v>
      </x:c>
      <x:c r="P143" s="2" t="str"/>
      <x:c r="Q143" s="2" t="str">
        <x:v>Unclear</x:v>
      </x:c>
      <x:c r="R143" s="2" t="str">
        <x:v>Elmos ChatGPT-4o Workspace</x:v>
      </x:c>
      <x:c r="S143" s="2" t="str">
        <x:v>4o</x:v>
      </x:c>
      <x:c r="T143" s="2" t="str">
        <x:v>NR</x:v>
      </x:c>
      <x:c r="U143" s="2" t="str">
        <x:v>NR</x:v>
      </x:c>
      <x:c r="V143" s="2" t="str">
        <x:v>NR</x:v>
      </x:c>
      <x:c r="W143" s="2" t="str">
        <x:v>NR</x:v>
      </x:c>
      <x:c r="X143" s="2" t="n">
        <x:v>7</x:v>
      </x:c>
      <x:c r="Y143" s="2" t="str">
        <x:v>NR</x:v>
      </x:c>
      <x:c r="Z143" s="2" t="str">
        <x:v>NR</x:v>
      </x:c>
      <x:c r="AA143" s="2" t="str">
        <x:v>No</x:v>
      </x:c>
      <x:c r="AB143" s="2" t="str">
        <x:v>No</x:v>
      </x:c>
      <x:c r="AC143" s="6" t="str">
        <x:v>p. 2; Section 2</x:v>
      </x:c>
      <x:c r="AD143" s="6" t="str">
        <x:v>We used Elmos ChatGPT-4o Workspace equipped with ChatGPT-4o.</x:v>
      </x:c>
    </x:row>
    <x:row r="144" ht="76" customHeight="1">
      <x:c r="A144" s="2" t="str">
        <x:v>S45</x:v>
      </x:c>
      <x:c r="B144" s="2" t="str">
        <x:v>2025</x:v>
      </x:c>
      <x:c r="C144" s="2" t="str">
        <x:v>Published</x:v>
      </x:c>
      <x:c r="D144" s="6" t="str">
        <x:v>Evaluating the Capabilities of LLMs in Traceability Maintenance for Automotive System and Software Requirements</x:v>
      </x:c>
      <x:c r="E144" s="2" t="str">
        <x:v>S45-MU04</x:v>
      </x:c>
      <x:c r="F144" s="2" t="str">
        <x:v>S45-O04</x:v>
      </x:c>
      <x:c r="G144" s="2" t="str">
        <x:v>S45-T04</x:v>
      </x:c>
      <x:c r="H144" s="2" t="str">
        <x:v>ChatGPT-4o</x:v>
      </x:c>
      <x:c r="I144" s="2" t="str">
        <x:v>gpt-4o</x:v>
      </x:c>
      <x:c r="J144" s="2" t="str">
        <x:v>GPT</x:v>
      </x:c>
      <x:c r="K144" s="2" t="str">
        <x:v>GPT-4o</x:v>
      </x:c>
      <x:c r="L144" s="2" t="str">
        <x:v>Closed</x:v>
      </x:c>
      <x:c r="M144" s="2" t="str">
        <x:v>Closed</x:v>
      </x:c>
      <x:c r="N144" s="6" t="str">
        <x:v>Reported in extraction</x:v>
      </x:c>
      <x:c r="O144" s="2" t="str">
        <x:v>Yes</x:v>
      </x:c>
      <x:c r="P144" s="2" t="str"/>
      <x:c r="Q144" s="2" t="str">
        <x:v>Unclear</x:v>
      </x:c>
      <x:c r="R144" s="2" t="str">
        <x:v>Elmos ChatGPT-4o Workspace</x:v>
      </x:c>
      <x:c r="S144" s="2" t="str">
        <x:v>4o</x:v>
      </x:c>
      <x:c r="T144" s="2" t="str">
        <x:v>NR</x:v>
      </x:c>
      <x:c r="U144" s="2" t="str">
        <x:v>NR</x:v>
      </x:c>
      <x:c r="V144" s="2" t="str">
        <x:v>NR</x:v>
      </x:c>
      <x:c r="W144" s="2" t="str">
        <x:v>NR</x:v>
      </x:c>
      <x:c r="X144" s="2" t="str">
        <x:v>NR</x:v>
      </x:c>
      <x:c r="Y144" s="2" t="str">
        <x:v>NR</x:v>
      </x:c>
      <x:c r="Z144" s="2" t="str">
        <x:v>NR</x:v>
      </x:c>
      <x:c r="AA144" s="2" t="str">
        <x:v>No</x:v>
      </x:c>
      <x:c r="AB144" s="2" t="str">
        <x:v>No</x:v>
      </x:c>
      <x:c r="AC144" s="6" t="str">
        <x:v>p. 2; Section 2</x:v>
      </x:c>
      <x:c r="AD144" s="6" t="str">
        <x:v>We used Elmos ChatGPT-4o Workspace equipped with ChatGPT-4o.</x:v>
      </x:c>
    </x:row>
    <x:row r="145" ht="76" customHeight="1">
      <x:c r="A145" s="2" t="str">
        <x:v>S45</x:v>
      </x:c>
      <x:c r="B145" s="2" t="str">
        <x:v>2025</x:v>
      </x:c>
      <x:c r="C145" s="2" t="str">
        <x:v>Published</x:v>
      </x:c>
      <x:c r="D145" s="6" t="str">
        <x:v>Evaluating the Capabilities of LLMs in Traceability Maintenance for Automotive System and Software Requirements</x:v>
      </x:c>
      <x:c r="E145" s="2" t="str">
        <x:v>S45-MU05</x:v>
      </x:c>
      <x:c r="F145" s="2" t="str">
        <x:v>S45-O05</x:v>
      </x:c>
      <x:c r="G145" s="2" t="str">
        <x:v>S45-T05</x:v>
      </x:c>
      <x:c r="H145" s="2" t="str">
        <x:v>ChatGPT-4o</x:v>
      </x:c>
      <x:c r="I145" s="2" t="str">
        <x:v>gpt-4o</x:v>
      </x:c>
      <x:c r="J145" s="2" t="str">
        <x:v>GPT</x:v>
      </x:c>
      <x:c r="K145" s="2" t="str">
        <x:v>GPT-4o</x:v>
      </x:c>
      <x:c r="L145" s="2" t="str">
        <x:v>Closed</x:v>
      </x:c>
      <x:c r="M145" s="2" t="str">
        <x:v>Closed</x:v>
      </x:c>
      <x:c r="N145" s="6" t="str">
        <x:v>Reported in extraction</x:v>
      </x:c>
      <x:c r="O145" s="2" t="str">
        <x:v>Yes</x:v>
      </x:c>
      <x:c r="P145" s="2" t="str"/>
      <x:c r="Q145" s="2" t="str">
        <x:v>Unclear</x:v>
      </x:c>
      <x:c r="R145" s="2" t="str">
        <x:v>Elmos ChatGPT-4o Workspace</x:v>
      </x:c>
      <x:c r="S145" s="2" t="str">
        <x:v>4o</x:v>
      </x:c>
      <x:c r="T145" s="2" t="str">
        <x:v>NR</x:v>
      </x:c>
      <x:c r="U145" s="2" t="str">
        <x:v>NR</x:v>
      </x:c>
      <x:c r="V145" s="2" t="str">
        <x:v>NR</x:v>
      </x:c>
      <x:c r="W145" s="2" t="str">
        <x:v>NR</x:v>
      </x:c>
      <x:c r="X145" s="2" t="str">
        <x:v>NR</x:v>
      </x:c>
      <x:c r="Y145" s="2" t="str">
        <x:v>NR</x:v>
      </x:c>
      <x:c r="Z145" s="2" t="str">
        <x:v>NR</x:v>
      </x:c>
      <x:c r="AA145" s="2" t="str">
        <x:v>No</x:v>
      </x:c>
      <x:c r="AB145" s="2" t="str">
        <x:v>No</x:v>
      </x:c>
      <x:c r="AC145" s="6" t="str">
        <x:v>p. 2; Section 2</x:v>
      </x:c>
      <x:c r="AD145" s="6" t="str">
        <x:v>We used Elmos ChatGPT-4o Workspace equipped with ChatGPT-4o.</x:v>
      </x:c>
    </x:row>
    <x:row r="146" ht="76" customHeight="1">
      <x:c r="A146" s="2" t="str">
        <x:v>S46</x:v>
      </x:c>
      <x:c r="B146" s="2" t="str">
        <x:v>2025</x:v>
      </x:c>
      <x:c r="C146" s="2" t="str">
        <x:v>Published</x:v>
      </x:c>
      <x:c r="D146" s="6" t="str">
        <x:v>Improving software development traceability with structured prompting</x:v>
      </x:c>
      <x:c r="E146" s="2" t="str">
        <x:v>S46-MU41</x:v>
      </x:c>
      <x:c r="F146" s="2" t="str">
        <x:v>S46-O01</x:v>
      </x:c>
      <x:c r="G146" s="2" t="str">
        <x:v>S46-T01</x:v>
      </x:c>
      <x:c r="H146" s="2" t="str">
        <x:v>ChatGPT (ChatGPT-4o)</x:v>
      </x:c>
      <x:c r="I146" s="2" t="str">
        <x:v>ChatGPT-4o</x:v>
      </x:c>
      <x:c r="J146" s="2" t="str">
        <x:v>GPT</x:v>
      </x:c>
      <x:c r="K146" s="2" t="str">
        <x:v>GPT-4o</x:v>
      </x:c>
      <x:c r="L146" s="2" t="str">
        <x:v>Closed</x:v>
      </x:c>
      <x:c r="M146" s="2" t="str">
        <x:v>Closed</x:v>
      </x:c>
      <x:c r="N146" s="6" t="str">
        <x:v>Reported in extraction</x:v>
      </x:c>
      <x:c r="O146" s="2" t="str">
        <x:v>Yes</x:v>
      </x:c>
      <x:c r="P146" s="2" t="str"/>
      <x:c r="Q146" s="2" t="str">
        <x:v>NR</x:v>
      </x:c>
      <x:c r="R146" s="2" t="str">
        <x:v>NR</x:v>
      </x:c>
      <x:c r="S146" s="2" t="str">
        <x:v>4o</x:v>
      </x:c>
      <x:c r="T146" s="2" t="str">
        <x:v>NR</x:v>
      </x:c>
      <x:c r="U146" s="2" t="str">
        <x:v>2024-05</x:v>
      </x:c>
      <x:c r="V146" s="2" t="str">
        <x:v>NR</x:v>
      </x:c>
      <x:c r="W146" s="2" t="str">
        <x:v>NR</x:v>
      </x:c>
      <x:c r="X146" s="2" t="str">
        <x:v>NR</x:v>
      </x:c>
      <x:c r="Y146" s="2" t="str">
        <x:v>NR</x:v>
      </x:c>
      <x:c r="Z146" s="2" t="str">
        <x:v>NR</x:v>
      </x:c>
      <x:c r="AA146" s="2" t="str">
        <x:v>No</x:v>
      </x:c>
      <x:c r="AB146" s="2" t="str">
        <x:v>No</x:v>
      </x:c>
      <x:c r="AC146" s="6" t="str">
        <x:v>p. 9; Evaluation section</x:v>
      </x:c>
      <x:c r="AD146" s="6" t="str">
        <x:v>We utilize five prominent AI models—Meta (based on tured prompting, and two to three times more with Meta Llama 3),5 Gemini (no version information structured prompting. Despite Claude and ChatGPT</x:v>
      </x:c>
    </x:row>
    <x:row r="147" ht="76" customHeight="1">
      <x:c r="A147" s="2" t="str">
        <x:v>S46</x:v>
      </x:c>
      <x:c r="B147" s="2" t="str">
        <x:v>2025</x:v>
      </x:c>
      <x:c r="C147" s="2" t="str">
        <x:v>Published</x:v>
      </x:c>
      <x:c r="D147" s="6" t="str">
        <x:v>Improving software development traceability with structured prompting</x:v>
      </x:c>
      <x:c r="E147" s="2" t="str">
        <x:v>S46-MU42</x:v>
      </x:c>
      <x:c r="F147" s="2" t="str">
        <x:v>S46-O02</x:v>
      </x:c>
      <x:c r="G147" s="2" t="str">
        <x:v>S46-T02</x:v>
      </x:c>
      <x:c r="H147" s="2" t="str">
        <x:v>ChatGPT (ChatGPT-4o)</x:v>
      </x:c>
      <x:c r="I147" s="2" t="str">
        <x:v>ChatGPT-4o</x:v>
      </x:c>
      <x:c r="J147" s="2" t="str">
        <x:v>GPT</x:v>
      </x:c>
      <x:c r="K147" s="2" t="str">
        <x:v>GPT-4o</x:v>
      </x:c>
      <x:c r="L147" s="2" t="str">
        <x:v>Closed</x:v>
      </x:c>
      <x:c r="M147" s="2" t="str">
        <x:v>Closed</x:v>
      </x:c>
      <x:c r="N147" s="6" t="str">
        <x:v>Reported in extraction</x:v>
      </x:c>
      <x:c r="O147" s="2" t="str">
        <x:v>Yes</x:v>
      </x:c>
      <x:c r="P147" s="2" t="str"/>
      <x:c r="Q147" s="2" t="str">
        <x:v>NR</x:v>
      </x:c>
      <x:c r="R147" s="2" t="str">
        <x:v>NR</x:v>
      </x:c>
      <x:c r="S147" s="2" t="str">
        <x:v>4o</x:v>
      </x:c>
      <x:c r="T147" s="2" t="str">
        <x:v>NR</x:v>
      </x:c>
      <x:c r="U147" s="2" t="str">
        <x:v>2024-05</x:v>
      </x:c>
      <x:c r="V147" s="2" t="str">
        <x:v>NR</x:v>
      </x:c>
      <x:c r="W147" s="2" t="str">
        <x:v>NR</x:v>
      </x:c>
      <x:c r="X147" s="2" t="str">
        <x:v>NR</x:v>
      </x:c>
      <x:c r="Y147" s="2" t="str">
        <x:v>NR</x:v>
      </x:c>
      <x:c r="Z147" s="2" t="str">
        <x:v>NR</x:v>
      </x:c>
      <x:c r="AA147" s="2" t="str">
        <x:v>No</x:v>
      </x:c>
      <x:c r="AB147" s="2" t="str">
        <x:v>No</x:v>
      </x:c>
      <x:c r="AC147" s="6" t="str">
        <x:v>p. 9; Evaluation section</x:v>
      </x:c>
      <x:c r="AD147" s="6" t="str">
        <x:v>We utilize five prominent AI models—Meta (based on tured prompting, and two to three times more with Meta Llama 3),5 Gemini (no version information structured prompting. Despite Claude and ChatGPT</x:v>
      </x:c>
    </x:row>
    <x:row r="148" ht="76" customHeight="1">
      <x:c r="A148" s="2" t="str">
        <x:v>S46</x:v>
      </x:c>
      <x:c r="B148" s="2" t="str">
        <x:v>2025</x:v>
      </x:c>
      <x:c r="C148" s="2" t="str">
        <x:v>Published</x:v>
      </x:c>
      <x:c r="D148" s="6" t="str">
        <x:v>Improving software development traceability with structured prompting</x:v>
      </x:c>
      <x:c r="E148" s="2" t="str">
        <x:v>S46-MU43</x:v>
      </x:c>
      <x:c r="F148" s="2" t="str">
        <x:v>S46-O03</x:v>
      </x:c>
      <x:c r="G148" s="2" t="str">
        <x:v>S46-T03</x:v>
      </x:c>
      <x:c r="H148" s="2" t="str">
        <x:v>ChatGPT (ChatGPT-4o)</x:v>
      </x:c>
      <x:c r="I148" s="2" t="str">
        <x:v>ChatGPT-4o</x:v>
      </x:c>
      <x:c r="J148" s="2" t="str">
        <x:v>GPT</x:v>
      </x:c>
      <x:c r="K148" s="2" t="str">
        <x:v>GPT-4o</x:v>
      </x:c>
      <x:c r="L148" s="2" t="str">
        <x:v>Closed</x:v>
      </x:c>
      <x:c r="M148" s="2" t="str">
        <x:v>Closed</x:v>
      </x:c>
      <x:c r="N148" s="6" t="str">
        <x:v>Reported in extraction</x:v>
      </x:c>
      <x:c r="O148" s="2" t="str">
        <x:v>Yes</x:v>
      </x:c>
      <x:c r="P148" s="2" t="str"/>
      <x:c r="Q148" s="2" t="str">
        <x:v>NR</x:v>
      </x:c>
      <x:c r="R148" s="2" t="str">
        <x:v>NR</x:v>
      </x:c>
      <x:c r="S148" s="2" t="str">
        <x:v>4o</x:v>
      </x:c>
      <x:c r="T148" s="2" t="str">
        <x:v>NR</x:v>
      </x:c>
      <x:c r="U148" s="2" t="str">
        <x:v>2024-05</x:v>
      </x:c>
      <x:c r="V148" s="2" t="str">
        <x:v>NR</x:v>
      </x:c>
      <x:c r="W148" s="2" t="str">
        <x:v>NR</x:v>
      </x:c>
      <x:c r="X148" s="2" t="str">
        <x:v>NR</x:v>
      </x:c>
      <x:c r="Y148" s="2" t="str">
        <x:v>NR</x:v>
      </x:c>
      <x:c r="Z148" s="2" t="str">
        <x:v>NR</x:v>
      </x:c>
      <x:c r="AA148" s="2" t="str">
        <x:v>No</x:v>
      </x:c>
      <x:c r="AB148" s="2" t="str">
        <x:v>No</x:v>
      </x:c>
      <x:c r="AC148" s="6" t="str">
        <x:v>p. 9; Evaluation section</x:v>
      </x:c>
      <x:c r="AD148" s="6" t="str">
        <x:v>We utilize five prominent AI models—Meta (based on tured prompting, and two to three times more with Meta Llama 3),5 Gemini (no version information structured prompting. Despite Claude and ChatGPT</x:v>
      </x:c>
    </x:row>
    <x:row r="149" ht="76" customHeight="1">
      <x:c r="A149" s="2" t="str">
        <x:v>S46</x:v>
      </x:c>
      <x:c r="B149" s="2" t="str">
        <x:v>2025</x:v>
      </x:c>
      <x:c r="C149" s="2" t="str">
        <x:v>Published</x:v>
      </x:c>
      <x:c r="D149" s="6" t="str">
        <x:v>Improving software development traceability with structured prompting</x:v>
      </x:c>
      <x:c r="E149" s="2" t="str">
        <x:v>S46-MU44</x:v>
      </x:c>
      <x:c r="F149" s="2" t="str">
        <x:v>S46-O04</x:v>
      </x:c>
      <x:c r="G149" s="2" t="str">
        <x:v>S46-T04</x:v>
      </x:c>
      <x:c r="H149" s="2" t="str">
        <x:v>ChatGPT (ChatGPT-4o)</x:v>
      </x:c>
      <x:c r="I149" s="2" t="str">
        <x:v>ChatGPT-4o</x:v>
      </x:c>
      <x:c r="J149" s="2" t="str">
        <x:v>GPT</x:v>
      </x:c>
      <x:c r="K149" s="2" t="str">
        <x:v>GPT-4o</x:v>
      </x:c>
      <x:c r="L149" s="2" t="str">
        <x:v>Closed</x:v>
      </x:c>
      <x:c r="M149" s="2" t="str">
        <x:v>Closed</x:v>
      </x:c>
      <x:c r="N149" s="6" t="str">
        <x:v>Reported in extraction</x:v>
      </x:c>
      <x:c r="O149" s="2" t="str">
        <x:v>Yes</x:v>
      </x:c>
      <x:c r="P149" s="2" t="str"/>
      <x:c r="Q149" s="2" t="str">
        <x:v>NR</x:v>
      </x:c>
      <x:c r="R149" s="2" t="str">
        <x:v>NR</x:v>
      </x:c>
      <x:c r="S149" s="2" t="str">
        <x:v>4o</x:v>
      </x:c>
      <x:c r="T149" s="2" t="str">
        <x:v>NR</x:v>
      </x:c>
      <x:c r="U149" s="2" t="str">
        <x:v>2024-05</x:v>
      </x:c>
      <x:c r="V149" s="2" t="str">
        <x:v>NR</x:v>
      </x:c>
      <x:c r="W149" s="2" t="str">
        <x:v>NR</x:v>
      </x:c>
      <x:c r="X149" s="2" t="str">
        <x:v>NR</x:v>
      </x:c>
      <x:c r="Y149" s="2" t="str">
        <x:v>NR</x:v>
      </x:c>
      <x:c r="Z149" s="2" t="str">
        <x:v>NR</x:v>
      </x:c>
      <x:c r="AA149" s="2" t="str">
        <x:v>No</x:v>
      </x:c>
      <x:c r="AB149" s="2" t="str">
        <x:v>No</x:v>
      </x:c>
      <x:c r="AC149" s="6" t="str">
        <x:v>p. 9; Evaluation section</x:v>
      </x:c>
      <x:c r="AD149" s="6" t="str">
        <x:v>We utilize five prominent AI models—Meta (based on tured prompting, and two to three times more with Meta Llama 3),5 Gemini (no version information structured prompting. Despite Claude and ChatGPT</x:v>
      </x:c>
    </x:row>
    <x:row r="150" ht="76" customHeight="1">
      <x:c r="A150" s="2" t="str">
        <x:v>S46</x:v>
      </x:c>
      <x:c r="B150" s="2" t="str">
        <x:v>2025</x:v>
      </x:c>
      <x:c r="C150" s="2" t="str">
        <x:v>Published</x:v>
      </x:c>
      <x:c r="D150" s="6" t="str">
        <x:v>Improving software development traceability with structured prompting</x:v>
      </x:c>
      <x:c r="E150" s="2" t="str">
        <x:v>S46-MU45</x:v>
      </x:c>
      <x:c r="F150" s="2" t="str">
        <x:v>S46-O05</x:v>
      </x:c>
      <x:c r="G150" s="2" t="str">
        <x:v>S46-T05</x:v>
      </x:c>
      <x:c r="H150" s="2" t="str">
        <x:v>ChatGPT (ChatGPT-4o)</x:v>
      </x:c>
      <x:c r="I150" s="2" t="str">
        <x:v>ChatGPT-4o</x:v>
      </x:c>
      <x:c r="J150" s="2" t="str">
        <x:v>GPT</x:v>
      </x:c>
      <x:c r="K150" s="2" t="str">
        <x:v>GPT-4o</x:v>
      </x:c>
      <x:c r="L150" s="2" t="str">
        <x:v>Closed</x:v>
      </x:c>
      <x:c r="M150" s="2" t="str">
        <x:v>Closed</x:v>
      </x:c>
      <x:c r="N150" s="6" t="str">
        <x:v>Reported in extraction</x:v>
      </x:c>
      <x:c r="O150" s="2" t="str">
        <x:v>Yes</x:v>
      </x:c>
      <x:c r="P150" s="2" t="str"/>
      <x:c r="Q150" s="2" t="str">
        <x:v>NR</x:v>
      </x:c>
      <x:c r="R150" s="2" t="str">
        <x:v>NR</x:v>
      </x:c>
      <x:c r="S150" s="2" t="str">
        <x:v>4o</x:v>
      </x:c>
      <x:c r="T150" s="2" t="str">
        <x:v>NR</x:v>
      </x:c>
      <x:c r="U150" s="2" t="str">
        <x:v>2024-05</x:v>
      </x:c>
      <x:c r="V150" s="2" t="str">
        <x:v>NR</x:v>
      </x:c>
      <x:c r="W150" s="2" t="str">
        <x:v>NR</x:v>
      </x:c>
      <x:c r="X150" s="2" t="str">
        <x:v>NR</x:v>
      </x:c>
      <x:c r="Y150" s="2" t="str">
        <x:v>NR</x:v>
      </x:c>
      <x:c r="Z150" s="2" t="str">
        <x:v>NR</x:v>
      </x:c>
      <x:c r="AA150" s="2" t="str">
        <x:v>No</x:v>
      </x:c>
      <x:c r="AB150" s="2" t="str">
        <x:v>No</x:v>
      </x:c>
      <x:c r="AC150" s="6" t="str">
        <x:v>p. 9; Evaluation section</x:v>
      </x:c>
      <x:c r="AD150" s="6" t="str">
        <x:v>We utilize five prominent AI models—Meta (based on tured prompting, and two to three times more with Meta Llama 3),5 Gemini (no version information structured prompting. Despite Claude and ChatGPT</x:v>
      </x:c>
    </x:row>
    <x:row r="151" ht="76" customHeight="1">
      <x:c r="A151" s="2" t="str">
        <x:v>S46</x:v>
      </x:c>
      <x:c r="B151" s="2" t="str">
        <x:v>2025</x:v>
      </x:c>
      <x:c r="C151" s="2" t="str">
        <x:v>Published</x:v>
      </x:c>
      <x:c r="D151" s="6" t="str">
        <x:v>Improving software development traceability with structured prompting</x:v>
      </x:c>
      <x:c r="E151" s="2" t="str">
        <x:v>S46-MU46</x:v>
      </x:c>
      <x:c r="F151" s="2" t="str">
        <x:v>S46-O06</x:v>
      </x:c>
      <x:c r="G151" s="2" t="str">
        <x:v>S46-T06</x:v>
      </x:c>
      <x:c r="H151" s="2" t="str">
        <x:v>ChatGPT (ChatGPT-4o)</x:v>
      </x:c>
      <x:c r="I151" s="2" t="str">
        <x:v>ChatGPT-4o</x:v>
      </x:c>
      <x:c r="J151" s="2" t="str">
        <x:v>GPT</x:v>
      </x:c>
      <x:c r="K151" s="2" t="str">
        <x:v>GPT-4o</x:v>
      </x:c>
      <x:c r="L151" s="2" t="str">
        <x:v>Closed</x:v>
      </x:c>
      <x:c r="M151" s="2" t="str">
        <x:v>Closed</x:v>
      </x:c>
      <x:c r="N151" s="6" t="str">
        <x:v>Reported in extraction</x:v>
      </x:c>
      <x:c r="O151" s="2" t="str">
        <x:v>Yes</x:v>
      </x:c>
      <x:c r="P151" s="2" t="str"/>
      <x:c r="Q151" s="2" t="str">
        <x:v>NR</x:v>
      </x:c>
      <x:c r="R151" s="2" t="str">
        <x:v>NR</x:v>
      </x:c>
      <x:c r="S151" s="2" t="str">
        <x:v>4o</x:v>
      </x:c>
      <x:c r="T151" s="2" t="str">
        <x:v>NR</x:v>
      </x:c>
      <x:c r="U151" s="2" t="str">
        <x:v>2024-05</x:v>
      </x:c>
      <x:c r="V151" s="2" t="str">
        <x:v>NR</x:v>
      </x:c>
      <x:c r="W151" s="2" t="str">
        <x:v>NR</x:v>
      </x:c>
      <x:c r="X151" s="2" t="str">
        <x:v>NR</x:v>
      </x:c>
      <x:c r="Y151" s="2" t="str">
        <x:v>NR</x:v>
      </x:c>
      <x:c r="Z151" s="2" t="str">
        <x:v>NR</x:v>
      </x:c>
      <x:c r="AA151" s="2" t="str">
        <x:v>No</x:v>
      </x:c>
      <x:c r="AB151" s="2" t="str">
        <x:v>No</x:v>
      </x:c>
      <x:c r="AC151" s="6" t="str">
        <x:v>p. 9; Evaluation section</x:v>
      </x:c>
      <x:c r="AD151" s="6" t="str">
        <x:v>We utilize five prominent AI models—Meta (based on tured prompting, and two to three times more with Meta Llama 3),5 Gemini (no version information structured prompting. Despite Claude and ChatGPT</x:v>
      </x:c>
    </x:row>
    <x:row r="152" ht="76" customHeight="1">
      <x:c r="A152" s="2" t="str">
        <x:v>S46</x:v>
      </x:c>
      <x:c r="B152" s="2" t="str">
        <x:v>2025</x:v>
      </x:c>
      <x:c r="C152" s="2" t="str">
        <x:v>Published</x:v>
      </x:c>
      <x:c r="D152" s="6" t="str">
        <x:v>Improving software development traceability with structured prompting</x:v>
      </x:c>
      <x:c r="E152" s="2" t="str">
        <x:v>S46-MU47</x:v>
      </x:c>
      <x:c r="F152" s="2" t="str">
        <x:v>S46-O07</x:v>
      </x:c>
      <x:c r="G152" s="2" t="str">
        <x:v>S46-T07</x:v>
      </x:c>
      <x:c r="H152" s="2" t="str">
        <x:v>ChatGPT (ChatGPT-4o)</x:v>
      </x:c>
      <x:c r="I152" s="2" t="str">
        <x:v>ChatGPT-4o</x:v>
      </x:c>
      <x:c r="J152" s="2" t="str">
        <x:v>GPT</x:v>
      </x:c>
      <x:c r="K152" s="2" t="str">
        <x:v>GPT-4o</x:v>
      </x:c>
      <x:c r="L152" s="2" t="str">
        <x:v>Closed</x:v>
      </x:c>
      <x:c r="M152" s="2" t="str">
        <x:v>Closed</x:v>
      </x:c>
      <x:c r="N152" s="6" t="str">
        <x:v>Reported in extraction</x:v>
      </x:c>
      <x:c r="O152" s="2" t="str">
        <x:v>Yes</x:v>
      </x:c>
      <x:c r="P152" s="2" t="str"/>
      <x:c r="Q152" s="2" t="str">
        <x:v>NR</x:v>
      </x:c>
      <x:c r="R152" s="2" t="str">
        <x:v>NR</x:v>
      </x:c>
      <x:c r="S152" s="2" t="str">
        <x:v>4o</x:v>
      </x:c>
      <x:c r="T152" s="2" t="str">
        <x:v>NR</x:v>
      </x:c>
      <x:c r="U152" s="2" t="str">
        <x:v>2024-05</x:v>
      </x:c>
      <x:c r="V152" s="2" t="str">
        <x:v>NR</x:v>
      </x:c>
      <x:c r="W152" s="2" t="str">
        <x:v>NR</x:v>
      </x:c>
      <x:c r="X152" s="2" t="str">
        <x:v>NR</x:v>
      </x:c>
      <x:c r="Y152" s="2" t="str">
        <x:v>NR</x:v>
      </x:c>
      <x:c r="Z152" s="2" t="str">
        <x:v>NR</x:v>
      </x:c>
      <x:c r="AA152" s="2" t="str">
        <x:v>No</x:v>
      </x:c>
      <x:c r="AB152" s="2" t="str">
        <x:v>No</x:v>
      </x:c>
      <x:c r="AC152" s="6" t="str">
        <x:v>p. 9; Evaluation section</x:v>
      </x:c>
      <x:c r="AD152" s="6" t="str">
        <x:v>We utilize five prominent AI models—Meta (based on tured prompting, and two to three times more with Meta Llama 3),5 Gemini (no version information structured prompting. Despite Claude and ChatGPT</x:v>
      </x:c>
    </x:row>
    <x:row r="153" ht="76" customHeight="1">
      <x:c r="A153" s="2" t="str">
        <x:v>S46</x:v>
      </x:c>
      <x:c r="B153" s="2" t="str">
        <x:v>2025</x:v>
      </x:c>
      <x:c r="C153" s="2" t="str">
        <x:v>Published</x:v>
      </x:c>
      <x:c r="D153" s="6" t="str">
        <x:v>Improving software development traceability with structured prompting</x:v>
      </x:c>
      <x:c r="E153" s="2" t="str">
        <x:v>S46-MU48</x:v>
      </x:c>
      <x:c r="F153" s="2" t="str">
        <x:v>S46-O08</x:v>
      </x:c>
      <x:c r="G153" s="2" t="str">
        <x:v>S46-T08</x:v>
      </x:c>
      <x:c r="H153" s="2" t="str">
        <x:v>ChatGPT (ChatGPT-4o)</x:v>
      </x:c>
      <x:c r="I153" s="2" t="str">
        <x:v>ChatGPT-4o</x:v>
      </x:c>
      <x:c r="J153" s="2" t="str">
        <x:v>GPT</x:v>
      </x:c>
      <x:c r="K153" s="2" t="str">
        <x:v>GPT-4o</x:v>
      </x:c>
      <x:c r="L153" s="2" t="str">
        <x:v>Closed</x:v>
      </x:c>
      <x:c r="M153" s="2" t="str">
        <x:v>Closed</x:v>
      </x:c>
      <x:c r="N153" s="6" t="str">
        <x:v>Reported in extraction</x:v>
      </x:c>
      <x:c r="O153" s="2" t="str">
        <x:v>Yes</x:v>
      </x:c>
      <x:c r="P153" s="2" t="str"/>
      <x:c r="Q153" s="2" t="str">
        <x:v>NR</x:v>
      </x:c>
      <x:c r="R153" s="2" t="str">
        <x:v>NR</x:v>
      </x:c>
      <x:c r="S153" s="2" t="str">
        <x:v>4o</x:v>
      </x:c>
      <x:c r="T153" s="2" t="str">
        <x:v>NR</x:v>
      </x:c>
      <x:c r="U153" s="2" t="str">
        <x:v>2024-05</x:v>
      </x:c>
      <x:c r="V153" s="2" t="str">
        <x:v>NR</x:v>
      </x:c>
      <x:c r="W153" s="2" t="str">
        <x:v>NR</x:v>
      </x:c>
      <x:c r="X153" s="2" t="str">
        <x:v>NR</x:v>
      </x:c>
      <x:c r="Y153" s="2" t="str">
        <x:v>NR</x:v>
      </x:c>
      <x:c r="Z153" s="2" t="str">
        <x:v>NR</x:v>
      </x:c>
      <x:c r="AA153" s="2" t="str">
        <x:v>No</x:v>
      </x:c>
      <x:c r="AB153" s="2" t="str">
        <x:v>No</x:v>
      </x:c>
      <x:c r="AC153" s="6" t="str">
        <x:v>p. 9; Evaluation section</x:v>
      </x:c>
      <x:c r="AD153" s="6" t="str">
        <x:v>We utilize five prominent AI models—Meta (based on tured prompting, and two to three times more with Meta Llama 3),5 Gemini (no version information structured prompting. Despite Claude and ChatGPT</x:v>
      </x:c>
    </x:row>
    <x:row r="154" ht="76" customHeight="1">
      <x:c r="A154" s="2" t="str">
        <x:v>S46</x:v>
      </x:c>
      <x:c r="B154" s="2" t="str">
        <x:v>2025</x:v>
      </x:c>
      <x:c r="C154" s="2" t="str">
        <x:v>Published</x:v>
      </x:c>
      <x:c r="D154" s="6" t="str">
        <x:v>Improving software development traceability with structured prompting</x:v>
      </x:c>
      <x:c r="E154" s="2" t="str">
        <x:v>S46-MU49</x:v>
      </x:c>
      <x:c r="F154" s="2" t="str">
        <x:v>S46-O09</x:v>
      </x:c>
      <x:c r="G154" s="2" t="str">
        <x:v>S46-T09</x:v>
      </x:c>
      <x:c r="H154" s="2" t="str">
        <x:v>ChatGPT (ChatGPT-4o)</x:v>
      </x:c>
      <x:c r="I154" s="2" t="str">
        <x:v>ChatGPT-4o</x:v>
      </x:c>
      <x:c r="J154" s="2" t="str">
        <x:v>GPT</x:v>
      </x:c>
      <x:c r="K154" s="2" t="str">
        <x:v>GPT-4o</x:v>
      </x:c>
      <x:c r="L154" s="2" t="str">
        <x:v>Closed</x:v>
      </x:c>
      <x:c r="M154" s="2" t="str">
        <x:v>Closed</x:v>
      </x:c>
      <x:c r="N154" s="6" t="str">
        <x:v>Reported in extraction</x:v>
      </x:c>
      <x:c r="O154" s="2" t="str">
        <x:v>Yes</x:v>
      </x:c>
      <x:c r="P154" s="2" t="str"/>
      <x:c r="Q154" s="2" t="str">
        <x:v>NR</x:v>
      </x:c>
      <x:c r="R154" s="2" t="str">
        <x:v>NR</x:v>
      </x:c>
      <x:c r="S154" s="2" t="str">
        <x:v>4o</x:v>
      </x:c>
      <x:c r="T154" s="2" t="str">
        <x:v>NR</x:v>
      </x:c>
      <x:c r="U154" s="2" t="str">
        <x:v>2024-05</x:v>
      </x:c>
      <x:c r="V154" s="2" t="str">
        <x:v>NR</x:v>
      </x:c>
      <x:c r="W154" s="2" t="str">
        <x:v>NR</x:v>
      </x:c>
      <x:c r="X154" s="2" t="str">
        <x:v>NR</x:v>
      </x:c>
      <x:c r="Y154" s="2" t="str">
        <x:v>NR</x:v>
      </x:c>
      <x:c r="Z154" s="2" t="str">
        <x:v>NR</x:v>
      </x:c>
      <x:c r="AA154" s="2" t="str">
        <x:v>No</x:v>
      </x:c>
      <x:c r="AB154" s="2" t="str">
        <x:v>No</x:v>
      </x:c>
      <x:c r="AC154" s="6" t="str">
        <x:v>p. 9; Evaluation section</x:v>
      </x:c>
      <x:c r="AD154" s="6" t="str">
        <x:v>We utilize five prominent AI models—Meta (based on tured prompting, and two to three times more with Meta Llama 3),5 Gemini (no version information structured prompting. Despite Claude and ChatGPT</x:v>
      </x:c>
    </x:row>
    <x:row r="155" ht="76" customHeight="1">
      <x:c r="A155" s="2" t="str">
        <x:v>S46</x:v>
      </x:c>
      <x:c r="B155" s="2" t="str">
        <x:v>2025</x:v>
      </x:c>
      <x:c r="C155" s="2" t="str">
        <x:v>Published</x:v>
      </x:c>
      <x:c r="D155" s="6" t="str">
        <x:v>Improving software development traceability with structured prompting</x:v>
      </x:c>
      <x:c r="E155" s="2" t="str">
        <x:v>S46-MU50</x:v>
      </x:c>
      <x:c r="F155" s="2" t="str">
        <x:v>S46-O10</x:v>
      </x:c>
      <x:c r="G155" s="2" t="str">
        <x:v>S46-T10</x:v>
      </x:c>
      <x:c r="H155" s="2" t="str">
        <x:v>ChatGPT (ChatGPT-4o)</x:v>
      </x:c>
      <x:c r="I155" s="2" t="str">
        <x:v>ChatGPT-4o</x:v>
      </x:c>
      <x:c r="J155" s="2" t="str">
        <x:v>GPT</x:v>
      </x:c>
      <x:c r="K155" s="2" t="str">
        <x:v>GPT-4o</x:v>
      </x:c>
      <x:c r="L155" s="2" t="str">
        <x:v>Closed</x:v>
      </x:c>
      <x:c r="M155" s="2" t="str">
        <x:v>Closed</x:v>
      </x:c>
      <x:c r="N155" s="6" t="str">
        <x:v>Reported in extraction</x:v>
      </x:c>
      <x:c r="O155" s="2" t="str">
        <x:v>Yes</x:v>
      </x:c>
      <x:c r="P155" s="2" t="str"/>
      <x:c r="Q155" s="2" t="str">
        <x:v>NR</x:v>
      </x:c>
      <x:c r="R155" s="2" t="str">
        <x:v>NR</x:v>
      </x:c>
      <x:c r="S155" s="2" t="str">
        <x:v>4o</x:v>
      </x:c>
      <x:c r="T155" s="2" t="str">
        <x:v>NR</x:v>
      </x:c>
      <x:c r="U155" s="2" t="str">
        <x:v>2024-05</x:v>
      </x:c>
      <x:c r="V155" s="2" t="str">
        <x:v>NR</x:v>
      </x:c>
      <x:c r="W155" s="2" t="str">
        <x:v>NR</x:v>
      </x:c>
      <x:c r="X155" s="2" t="str">
        <x:v>NR</x:v>
      </x:c>
      <x:c r="Y155" s="2" t="str">
        <x:v>NR</x:v>
      </x:c>
      <x:c r="Z155" s="2" t="str">
        <x:v>NR</x:v>
      </x:c>
      <x:c r="AA155" s="2" t="str">
        <x:v>No</x:v>
      </x:c>
      <x:c r="AB155" s="2" t="str">
        <x:v>No</x:v>
      </x:c>
      <x:c r="AC155" s="6" t="str">
        <x:v>p. 9; Evaluation section</x:v>
      </x:c>
      <x:c r="AD155" s="6" t="str">
        <x:v>We utilize five prominent AI models—Meta (based on tured prompting, and two to three times more with Meta Llama 3),5 Gemini (no version information structured prompting. Despite Claude and ChatGPT</x:v>
      </x:c>
    </x:row>
    <x:row r="156" ht="76" customHeight="1">
      <x:c r="A156" s="2" t="str">
        <x:v>S51</x:v>
      </x:c>
      <x:c r="B156" s="2" t="str">
        <x:v>2024</x:v>
      </x:c>
      <x:c r="C156" s="2" t="str">
        <x:v>Published</x:v>
      </x:c>
      <x:c r="D156" s="6" t="str">
        <x:v>Exploring LLMs for Verifying Technical System Specifications Against Requirements</x:v>
      </x:c>
      <x:c r="E156" s="2" t="str">
        <x:v>S51-MU01</x:v>
      </x:c>
      <x:c r="F156" s="2" t="str">
        <x:v>S51-O01</x:v>
      </x:c>
      <x:c r="G156" s="2" t="str">
        <x:v>S51-T01</x:v>
      </x:c>
      <x:c r="H156" s="2" t="str">
        <x:v>GPT-4o</x:v>
      </x:c>
      <x:c r="I156" s="2" t="str">
        <x:v>GPT-4o-2024-05-13</x:v>
      </x:c>
      <x:c r="J156" s="2" t="str">
        <x:v>GPT</x:v>
      </x:c>
      <x:c r="K156" s="2" t="str">
        <x:v>GPT-4o</x:v>
      </x:c>
      <x:c r="L156" s="2" t="str">
        <x:v>Closed</x:v>
      </x:c>
      <x:c r="M156" s="2" t="str">
        <x:v>Closed</x:v>
      </x:c>
      <x:c r="N156" s="6" t="str">
        <x:v>Reported in extraction</x:v>
      </x:c>
      <x:c r="O156" s="2" t="str">
        <x:v>Yes</x:v>
      </x:c>
      <x:c r="P156" s="2" t="str"/>
      <x:c r="Q156" s="2" t="str">
        <x:v>API</x:v>
      </x:c>
      <x:c r="R156" s="2" t="str">
        <x:v>NR</x:v>
      </x:c>
      <x:c r="S156" s="2" t="str">
        <x:v>gpt-4o-2024-05-13</x:v>
      </x:c>
      <x:c r="T156" s="2" t="str">
        <x:v>NR</x:v>
      </x:c>
      <x:c r="U156" s="2" t="str">
        <x:v>2024-09-17 to 2024-10-07</x:v>
      </x:c>
      <x:c r="V156" s="2" t="str">
        <x:v>NR</x:v>
      </x:c>
      <x:c r="W156" s="2" t="str">
        <x:v>NR</x:v>
      </x:c>
      <x:c r="X156" s="2" t="n">
        <x:v>3</x:v>
      </x:c>
      <x:c r="Y156" s="2" t="str">
        <x:v>NR</x:v>
      </x:c>
      <x:c r="Z156" s="2" t="str">
        <x:v>NR</x:v>
      </x:c>
      <x:c r="AA156" s="2" t="str">
        <x:v>No</x:v>
      </x:c>
      <x:c r="AB156" s="2" t="str">
        <x:v>No</x:v>
      </x:c>
      <x:c r="AC156" s="6" t="str">
        <x:v>p. 4; Section III-C. Experimental Variables</x:v>
      </x:c>
      <x:c r="AD156" s="6" t="str">
        <x:v>Four different LLMs are used in the experiments and compared to one another: GPT-4o, GPT-3.5-turbo, Gemini-1.5, and Claude 3.5 Sonnet.</x:v>
      </x:c>
    </x:row>
    <x:row r="157" ht="76" customHeight="1">
      <x:c r="A157" s="2" t="str">
        <x:v>S01</x:v>
      </x:c>
      <x:c r="B157" s="2" t="str">
        <x:v>2025</x:v>
      </x:c>
      <x:c r="C157" s="2" t="str">
        <x:v>Published</x:v>
      </x:c>
      <x:c r="D157" s="6" t="str">
        <x:v>LiSSA: Toward Generic Traceability Link Recovery Through Retrieval- Augmented Generation</x:v>
      </x:c>
      <x:c r="E157" s="2" t="str">
        <x:v>S01-MU02</x:v>
      </x:c>
      <x:c r="F157" s="2" t="str">
        <x:v>S01-O03</x:v>
      </x:c>
      <x:c r="G157" s="2" t="str">
        <x:v>S01-T01</x:v>
      </x:c>
      <x:c r="H157" s="2" t="str">
        <x:v>GPT-4o mini (gpt-4o-mini-2024-07-18)</x:v>
      </x:c>
      <x:c r="I157" s="2" t="str">
        <x:v>gpt-4o-mini-2024-07-18</x:v>
      </x:c>
      <x:c r="J157" s="2" t="str">
        <x:v>GPT</x:v>
      </x:c>
      <x:c r="K157" s="2" t="str">
        <x:v>GPT-4o mini</x:v>
      </x:c>
      <x:c r="L157" s="2" t="str">
        <x:v>Closed</x:v>
      </x:c>
      <x:c r="M157" s="2" t="str">
        <x:v>Closed</x:v>
      </x:c>
      <x:c r="N157" s="6" t="str">
        <x:v>Reported in extraction</x:v>
      </x:c>
      <x:c r="O157" s="2" t="str">
        <x:v>Yes</x:v>
      </x:c>
      <x:c r="P157" s="2" t="str"/>
      <x:c r="Q157" s="2" t="str">
        <x:v>API</x:v>
      </x:c>
      <x:c r="R157" s="2" t="str">
        <x:v>API</x:v>
      </x:c>
      <x:c r="S157" s="2" t="str">
        <x:v>2024-07-18</x:v>
      </x:c>
      <x:c r="T157" s="2" t="str">
        <x:v>NR</x:v>
      </x:c>
      <x:c r="U157" s="2" t="str">
        <x:v>NR</x:v>
      </x:c>
      <x:c r="V157" s="2" t="n">
        <x:v>0</x:v>
      </x:c>
      <x:c r="W157" s="2" t="str">
        <x:v>NR</x:v>
      </x:c>
      <x:c r="X157" s="2" t="str">
        <x:v>NR</x:v>
      </x:c>
      <x:c r="Y157" s="2" t="str">
        <x:v>NR</x:v>
      </x:c>
      <x:c r="Z157" s="2" t="str">
        <x:v>NR</x:v>
      </x:c>
      <x:c r="AA157" s="2" t="str">
        <x:v>Yes</x:v>
      </x:c>
      <x:c r="AB157" s="2" t="str">
        <x:v>No</x:v>
      </x:c>
      <x:c r="AC157" s="6" t="str">
        <x:v>p. 8; Section IV-D</x:v>
      </x:c>
      <x:c r="AD157" s="6" t="str">
        <x:v>Approach GPT-4o GPT-4o mini GPT-4o GPT-4o mini</x:v>
      </x:c>
    </x:row>
    <x:row r="158" ht="76" customHeight="1">
      <x:c r="A158" s="2" t="str">
        <x:v>S01</x:v>
      </x:c>
      <x:c r="B158" s="2" t="str">
        <x:v>2025</x:v>
      </x:c>
      <x:c r="C158" s="2" t="str">
        <x:v>Published</x:v>
      </x:c>
      <x:c r="D158" s="6" t="str">
        <x:v>LiSSA: Toward Generic Traceability Link Recovery Through Retrieval- Augmented Generation</x:v>
      </x:c>
      <x:c r="E158" s="2" t="str">
        <x:v>S01-MU03</x:v>
      </x:c>
      <x:c r="F158" s="2" t="str">
        <x:v>S01-O03</x:v>
      </x:c>
      <x:c r="G158" s="2" t="str">
        <x:v>S01-T02</x:v>
      </x:c>
      <x:c r="H158" s="2" t="str">
        <x:v>GPT-4o mini (gpt-4o-mini-2024-07-18)</x:v>
      </x:c>
      <x:c r="I158" s="2" t="str">
        <x:v>gpt-4o-mini-2024-07-18</x:v>
      </x:c>
      <x:c r="J158" s="2" t="str">
        <x:v>GPT</x:v>
      </x:c>
      <x:c r="K158" s="2" t="str">
        <x:v>GPT-4o mini</x:v>
      </x:c>
      <x:c r="L158" s="2" t="str">
        <x:v>Closed</x:v>
      </x:c>
      <x:c r="M158" s="2" t="str">
        <x:v>Closed</x:v>
      </x:c>
      <x:c r="N158" s="6" t="str">
        <x:v>Reported in extraction</x:v>
      </x:c>
      <x:c r="O158" s="2" t="str">
        <x:v>Yes</x:v>
      </x:c>
      <x:c r="P158" s="2" t="str"/>
      <x:c r="Q158" s="2" t="str">
        <x:v>API</x:v>
      </x:c>
      <x:c r="R158" s="2" t="str">
        <x:v>API</x:v>
      </x:c>
      <x:c r="S158" s="2" t="str">
        <x:v>2024-07-18</x:v>
      </x:c>
      <x:c r="T158" s="2" t="str">
        <x:v>NR</x:v>
      </x:c>
      <x:c r="U158" s="2" t="str">
        <x:v>NR</x:v>
      </x:c>
      <x:c r="V158" s="2" t="n">
        <x:v>0</x:v>
      </x:c>
      <x:c r="W158" s="2" t="str">
        <x:v>NR</x:v>
      </x:c>
      <x:c r="X158" s="2" t="str">
        <x:v>NR</x:v>
      </x:c>
      <x:c r="Y158" s="2" t="str">
        <x:v>NR</x:v>
      </x:c>
      <x:c r="Z158" s="2" t="str">
        <x:v>NR</x:v>
      </x:c>
      <x:c r="AA158" s="2" t="str">
        <x:v>No</x:v>
      </x:c>
      <x:c r="AB158" s="2" t="str">
        <x:v>No</x:v>
      </x:c>
      <x:c r="AC158" s="6" t="str">
        <x:v>p. 8; Section IV-D</x:v>
      </x:c>
      <x:c r="AD158" s="6" t="str">
        <x:v>Approach GPT-4o GPT-4o mini GPT-4o GPT-4o mini</x:v>
      </x:c>
    </x:row>
    <x:row r="159" ht="76" customHeight="1">
      <x:c r="A159" s="2" t="str">
        <x:v>S01</x:v>
      </x:c>
      <x:c r="B159" s="2" t="str">
        <x:v>2025</x:v>
      </x:c>
      <x:c r="C159" s="2" t="str">
        <x:v>Published</x:v>
      </x:c>
      <x:c r="D159" s="6" t="str">
        <x:v>LiSSA: Toward Generic Traceability Link Recovery Through Retrieval- Augmented Generation</x:v>
      </x:c>
      <x:c r="E159" s="2" t="str">
        <x:v>S01-MU04</x:v>
      </x:c>
      <x:c r="F159" s="2" t="str">
        <x:v>S01-O03</x:v>
      </x:c>
      <x:c r="G159" s="2" t="str">
        <x:v>S01-T03</x:v>
      </x:c>
      <x:c r="H159" s="2" t="str">
        <x:v>GPT-4o mini (gpt-4o-mini-2024-07-18)</x:v>
      </x:c>
      <x:c r="I159" s="2" t="str">
        <x:v>gpt-4o-mini-2024-07-18</x:v>
      </x:c>
      <x:c r="J159" s="2" t="str">
        <x:v>GPT</x:v>
      </x:c>
      <x:c r="K159" s="2" t="str">
        <x:v>GPT-4o mini</x:v>
      </x:c>
      <x:c r="L159" s="2" t="str">
        <x:v>Closed</x:v>
      </x:c>
      <x:c r="M159" s="2" t="str">
        <x:v>Closed</x:v>
      </x:c>
      <x:c r="N159" s="6" t="str">
        <x:v>Reported in extraction</x:v>
      </x:c>
      <x:c r="O159" s="2" t="str">
        <x:v>Yes</x:v>
      </x:c>
      <x:c r="P159" s="2" t="str"/>
      <x:c r="Q159" s="2" t="str">
        <x:v>API</x:v>
      </x:c>
      <x:c r="R159" s="2" t="str">
        <x:v>API</x:v>
      </x:c>
      <x:c r="S159" s="2" t="str">
        <x:v>2024-07-18</x:v>
      </x:c>
      <x:c r="T159" s="2" t="str">
        <x:v>NR</x:v>
      </x:c>
      <x:c r="U159" s="2" t="str">
        <x:v>NR</x:v>
      </x:c>
      <x:c r="V159" s="2" t="n">
        <x:v>0</x:v>
      </x:c>
      <x:c r="W159" s="2" t="str">
        <x:v>NR</x:v>
      </x:c>
      <x:c r="X159" s="2" t="str">
        <x:v>NR</x:v>
      </x:c>
      <x:c r="Y159" s="2" t="str">
        <x:v>NR</x:v>
      </x:c>
      <x:c r="Z159" s="2" t="str">
        <x:v>NR</x:v>
      </x:c>
      <x:c r="AA159" s="2" t="str">
        <x:v>No</x:v>
      </x:c>
      <x:c r="AB159" s="2" t="str">
        <x:v>No</x:v>
      </x:c>
      <x:c r="AC159" s="6" t="str">
        <x:v>p. 8; Section IV-D</x:v>
      </x:c>
      <x:c r="AD159" s="6" t="str">
        <x:v>Approach GPT-4o GPT-4o mini GPT-4o GPT-4o mini</x:v>
      </x:c>
    </x:row>
    <x:row r="160" ht="76" customHeight="1">
      <x:c r="A160" s="2" t="str">
        <x:v>S02</x:v>
      </x:c>
      <x:c r="B160" s="2" t="str">
        <x:v>2026</x:v>
      </x:c>
      <x:c r="C160" s="2" t="str">
        <x:v>Published</x:v>
      </x:c>
      <x:c r="D160" s="6" t="str">
        <x:v>Who's Who? LLM-assisted Software Traceability with Architecture Entity Recognition</x:v>
      </x:c>
      <x:c r="E160" s="2" t="str">
        <x:v>S02-MU01</x:v>
      </x:c>
      <x:c r="F160" s="2" t="str">
        <x:v>S02-O01</x:v>
      </x:c>
      <x:c r="G160" s="2" t="str">
        <x:v>S02-T01</x:v>
      </x:c>
      <x:c r="H160" s="2" t="str">
        <x:v>GPT-4o mini</x:v>
      </x:c>
      <x:c r="I160" s="2" t="str">
        <x:v>GPT-4o mini</x:v>
      </x:c>
      <x:c r="J160" s="2" t="str">
        <x:v>GPT</x:v>
      </x:c>
      <x:c r="K160" s="2" t="str">
        <x:v>GPT-4o mini</x:v>
      </x:c>
      <x:c r="L160" s="2" t="str">
        <x:v>Closed</x:v>
      </x:c>
      <x:c r="M160" s="2" t="str">
        <x:v>Closed</x:v>
      </x:c>
      <x:c r="N160" s="6" t="str">
        <x:v>Reported in extraction</x:v>
      </x:c>
      <x:c r="O160" s="2" t="str">
        <x:v>Yes</x:v>
      </x:c>
      <x:c r="P160" s="2" t="str"/>
      <x:c r="Q160" s="2" t="str">
        <x:v>API</x:v>
      </x:c>
      <x:c r="R160" s="2" t="str">
        <x:v>NR</x:v>
      </x:c>
      <x:c r="S160" s="2" t="str">
        <x:v>NR</x:v>
      </x:c>
      <x:c r="T160" s="2" t="str">
        <x:v>NR</x:v>
      </x:c>
      <x:c r="U160" s="2" t="str">
        <x:v>NR</x:v>
      </x:c>
      <x:c r="V160" s="2" t="n">
        <x:v>0</x:v>
      </x:c>
      <x:c r="W160" s="2" t="str">
        <x:v>NR</x:v>
      </x:c>
      <x:c r="X160" s="2" t="n">
        <x:v>1</x:v>
      </x:c>
      <x:c r="Y160" s="2" t="str">
        <x:v>NR</x:v>
      </x:c>
      <x:c r="Z160" s="2" t="str">
        <x:v>NR</x:v>
      </x:c>
      <x:c r="AA160" s="2" t="str">
        <x:v>No</x:v>
      </x:c>
      <x:c r="AB160" s="2" t="str">
        <x:v>No</x:v>
      </x:c>
      <x:c r="AC160" s="6" t="str">
        <x:v>p. 10; Section 5.1; Section 5.5</x:v>
      </x:c>
      <x:c r="AD160" s="6" t="str">
        <x:v>mini, GPT-4o, GPT-4 Turbo, GPT-4, and GPT-3.5 Turbo. As local models, we use Codellama 13b, Meta AI Llama 3.1 8b, and Meta AI Llama 3.1 70b.</x:v>
      </x:c>
    </x:row>
    <x:row r="161" ht="76" customHeight="1">
      <x:c r="A161" s="2" t="str">
        <x:v>S12</x:v>
      </x:c>
      <x:c r="B161" s="2" t="str">
        <x:v>2026</x:v>
      </x:c>
      <x:c r="C161" s="2" t="str">
        <x:v>Published</x:v>
      </x:c>
      <x:c r="D161" s="6" t="str">
        <x:v>TraceLLM: Leveraging Large Language Models with Prompt Engineering for Enhanced Requirements Traceability</x:v>
      </x:c>
      <x:c r="E161" s="2" t="str">
        <x:v>S12-MU01</x:v>
      </x:c>
      <x:c r="F161" s="2" t="str">
        <x:v>S12-O01</x:v>
      </x:c>
      <x:c r="G161" s="2" t="str">
        <x:v>S12-T01</x:v>
      </x:c>
      <x:c r="H161" s="2" t="str">
        <x:v>gpt-4o-mini</x:v>
      </x:c>
      <x:c r="I161" s="2" t="str">
        <x:v>GPT-4o mini</x:v>
      </x:c>
      <x:c r="J161" s="2" t="str">
        <x:v>GPT</x:v>
      </x:c>
      <x:c r="K161" s="2" t="str">
        <x:v>GPT-4o mini</x:v>
      </x:c>
      <x:c r="L161" s="2" t="str">
        <x:v>Closed</x:v>
      </x:c>
      <x:c r="M161" s="2" t="str">
        <x:v>Closed</x:v>
      </x:c>
      <x:c r="N161" s="6" t="str">
        <x:v>Reported in extraction</x:v>
      </x:c>
      <x:c r="O161" s="2" t="str">
        <x:v>Yes</x:v>
      </x:c>
      <x:c r="P161" s="2" t="str"/>
      <x:c r="Q161" s="2" t="str">
        <x:v>API</x:v>
      </x:c>
      <x:c r="R161" s="2" t="str">
        <x:v>OpenRouter</x:v>
      </x:c>
      <x:c r="S161" s="2" t="str">
        <x:v>gpt-4o-mini</x:v>
      </x:c>
      <x:c r="T161" s="2" t="str">
        <x:v>NR</x:v>
      </x:c>
      <x:c r="U161" s="2" t="str">
        <x:v>NR</x:v>
      </x:c>
      <x:c r="V161" s="2" t="n">
        <x:v>0</x:v>
      </x:c>
      <x:c r="W161" s="2" t="str">
        <x:v>NR</x:v>
      </x:c>
      <x:c r="X161" s="2" t="str">
        <x:v>NR</x:v>
      </x:c>
      <x:c r="Y161" s="2" t="str">
        <x:v>NR</x:v>
      </x:c>
      <x:c r="Z161" s="2" t="str">
        <x:v>NR</x:v>
      </x:c>
      <x:c r="AA161" s="2" t="str">
        <x:v>Yes</x:v>
      </x:c>
      <x:c r="AB161" s="2" t="str">
        <x:v>No</x:v>
      </x:c>
      <x:c r="AC161" s="6" t="str">
        <x:v>p. 19; Section 5.4</x:v>
      </x:c>
      <x:c r="AD161"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row>
    <x:row r="162" ht="76" customHeight="1">
      <x:c r="A162" s="2" t="str">
        <x:v>S20</x:v>
      </x:c>
      <x:c r="B162" s="2" t="str">
        <x:v>2024</x:v>
      </x:c>
      <x:c r="C162" s="2" t="str">
        <x:v>Grey literature</x:v>
      </x:c>
      <x:c r="D162" s="6" t="str">
        <x:v>Leveraging Graph-RAG and Prompt Engineering to Enhance LLM-Based Automated Requirement Traceability and Compliance Checks</x:v>
      </x:c>
      <x:c r="E162" s="2" t="str">
        <x:v>S20-MU02</x:v>
      </x:c>
      <x:c r="F162" s="2" t="str">
        <x:v>S20-O01</x:v>
      </x:c>
      <x:c r="G162" s="2" t="str">
        <x:v>S20-T01</x:v>
      </x:c>
      <x:c r="H162" s="2" t="str">
        <x:v>GPT-4o-mini</x:v>
      </x:c>
      <x:c r="I162" s="2" t="str">
        <x:v>gpt-4o-mini</x:v>
      </x:c>
      <x:c r="J162" s="2" t="str">
        <x:v>GPT</x:v>
      </x:c>
      <x:c r="K162" s="2" t="str">
        <x:v>GPT-4o mini</x:v>
      </x:c>
      <x:c r="L162" s="2" t="str">
        <x:v>Closed</x:v>
      </x:c>
      <x:c r="M162" s="2" t="str">
        <x:v>Closed</x:v>
      </x:c>
      <x:c r="N162" s="6" t="str">
        <x:v>Reported in extraction</x:v>
      </x:c>
      <x:c r="O162" s="2" t="str">
        <x:v>Yes</x:v>
      </x:c>
      <x:c r="P162" s="2" t="str"/>
      <x:c r="Q162" s="2" t="str">
        <x:v>API</x:v>
      </x:c>
      <x:c r="R162" s="2" t="str">
        <x:v>NR</x:v>
      </x:c>
      <x:c r="S162" s="2" t="str">
        <x:v>NR</x:v>
      </x:c>
      <x:c r="T162" s="2" t="str">
        <x:v>NR</x:v>
      </x:c>
      <x:c r="U162" s="2" t="str">
        <x:v>NR</x:v>
      </x:c>
      <x:c r="V162" s="2" t="str">
        <x:v>NR</x:v>
      </x:c>
      <x:c r="W162" s="2" t="str">
        <x:v>NR</x:v>
      </x:c>
      <x:c r="X162" s="2" t="str">
        <x:v>NR</x:v>
      </x:c>
      <x:c r="Y162" s="2" t="str">
        <x:v>NR</x:v>
      </x:c>
      <x:c r="Z162" s="2" t="str">
        <x:v>NR</x:v>
      </x:c>
      <x:c r="AA162" s="2" t="str">
        <x:v>No</x:v>
      </x:c>
      <x:c r="AB162" s="2" t="str">
        <x:v>No</x:v>
      </x:c>
      <x:c r="AC162" s="6" t="str">
        <x:v>p. 18; Section 5.1</x:v>
      </x:c>
      <x:c r="AD162" s="6" t="str">
        <x:v>we compare four models: RAG and Graph-RAG, each implemented with both GPT-4o and GPT-4o-mini</x:v>
      </x:c>
    </x:row>
    <x:row r="163" ht="76" customHeight="1">
      <x:c r="A163" s="2" t="str">
        <x:v>S20</x:v>
      </x:c>
      <x:c r="B163" s="2" t="str">
        <x:v>2024</x:v>
      </x:c>
      <x:c r="C163" s="2" t="str">
        <x:v>Grey literature</x:v>
      </x:c>
      <x:c r="D163" s="6" t="str">
        <x:v>Leveraging Graph-RAG and Prompt Engineering to Enhance LLM-Based Automated Requirement Traceability and Compliance Checks</x:v>
      </x:c>
      <x:c r="E163" s="2" t="str">
        <x:v>S20-MU04</x:v>
      </x:c>
      <x:c r="F163" s="2" t="str">
        <x:v>S20-O02</x:v>
      </x:c>
      <x:c r="G163" s="2" t="str">
        <x:v>S20-T01</x:v>
      </x:c>
      <x:c r="H163" s="2" t="str">
        <x:v>GPT-4o-mini</x:v>
      </x:c>
      <x:c r="I163" s="2" t="str">
        <x:v>gpt-4o-mini</x:v>
      </x:c>
      <x:c r="J163" s="2" t="str">
        <x:v>GPT</x:v>
      </x:c>
      <x:c r="K163" s="2" t="str">
        <x:v>GPT-4o mini</x:v>
      </x:c>
      <x:c r="L163" s="2" t="str">
        <x:v>Closed</x:v>
      </x:c>
      <x:c r="M163" s="2" t="str">
        <x:v>Closed</x:v>
      </x:c>
      <x:c r="N163" s="6" t="str">
        <x:v>Reported in extraction</x:v>
      </x:c>
      <x:c r="O163" s="2" t="str">
        <x:v>Yes</x:v>
      </x:c>
      <x:c r="P163" s="2" t="str"/>
      <x:c r="Q163" s="2" t="str">
        <x:v>API</x:v>
      </x:c>
      <x:c r="R163" s="2" t="str">
        <x:v>NR</x:v>
      </x:c>
      <x:c r="S163" s="2" t="str">
        <x:v>NR</x:v>
      </x:c>
      <x:c r="T163" s="2" t="str">
        <x:v>NR</x:v>
      </x:c>
      <x:c r="U163" s="2" t="str">
        <x:v>NR</x:v>
      </x:c>
      <x:c r="V163" s="2" t="str">
        <x:v>NR</x:v>
      </x:c>
      <x:c r="W163" s="2" t="str">
        <x:v>NR</x:v>
      </x:c>
      <x:c r="X163" s="2" t="str">
        <x:v>NR</x:v>
      </x:c>
      <x:c r="Y163" s="2" t="str">
        <x:v>NR</x:v>
      </x:c>
      <x:c r="Z163" s="2" t="str">
        <x:v>NR</x:v>
      </x:c>
      <x:c r="AA163" s="2" t="str">
        <x:v>No</x:v>
      </x:c>
      <x:c r="AB163" s="2" t="str">
        <x:v>No</x:v>
      </x:c>
      <x:c r="AC163" s="6" t="str">
        <x:v>p. 18; Section 5.1</x:v>
      </x:c>
      <x:c r="AD163" s="6" t="str">
        <x:v>we compare four models: RAG and Graph-RAG, each implemented with both GPT-4o and GPT-4o-mini</x:v>
      </x:c>
    </x:row>
    <x:row r="164" ht="76" customHeight="1">
      <x:c r="A164" s="2" t="str">
        <x:v>S20</x:v>
      </x:c>
      <x:c r="B164" s="2" t="str">
        <x:v>2024</x:v>
      </x:c>
      <x:c r="C164" s="2" t="str">
        <x:v>Grey literature</x:v>
      </x:c>
      <x:c r="D164" s="6" t="str">
        <x:v>Leveraging Graph-RAG and Prompt Engineering to Enhance LLM-Based Automated Requirement Traceability and Compliance Checks</x:v>
      </x:c>
      <x:c r="E164" s="2" t="str">
        <x:v>S20-MU06</x:v>
      </x:c>
      <x:c r="F164" s="2" t="str">
        <x:v>S20-O03</x:v>
      </x:c>
      <x:c r="G164" s="2" t="str">
        <x:v>S20-T01</x:v>
      </x:c>
      <x:c r="H164" s="2" t="str">
        <x:v>GPT-4o-mini</x:v>
      </x:c>
      <x:c r="I164" s="2" t="str">
        <x:v>gpt-4o-mini</x:v>
      </x:c>
      <x:c r="J164" s="2" t="str">
        <x:v>GPT</x:v>
      </x:c>
      <x:c r="K164" s="2" t="str">
        <x:v>GPT-4o mini</x:v>
      </x:c>
      <x:c r="L164" s="2" t="str">
        <x:v>Closed</x:v>
      </x:c>
      <x:c r="M164" s="2" t="str">
        <x:v>Closed</x:v>
      </x:c>
      <x:c r="N164" s="6" t="str">
        <x:v>Reported in extraction</x:v>
      </x:c>
      <x:c r="O164" s="2" t="str">
        <x:v>Yes</x:v>
      </x:c>
      <x:c r="P164" s="2" t="str"/>
      <x:c r="Q164" s="2" t="str">
        <x:v>API</x:v>
      </x:c>
      <x:c r="R164" s="2" t="str">
        <x:v>NR</x:v>
      </x:c>
      <x:c r="S164" s="2" t="str">
        <x:v>NR</x:v>
      </x:c>
      <x:c r="T164" s="2" t="str">
        <x:v>NR</x:v>
      </x:c>
      <x:c r="U164" s="2" t="str">
        <x:v>NR</x:v>
      </x:c>
      <x:c r="V164" s="2" t="str">
        <x:v>NR</x:v>
      </x:c>
      <x:c r="W164" s="2" t="str">
        <x:v>NR</x:v>
      </x:c>
      <x:c r="X164" s="2" t="str">
        <x:v>NR</x:v>
      </x:c>
      <x:c r="Y164" s="2" t="str">
        <x:v>NR</x:v>
      </x:c>
      <x:c r="Z164" s="2" t="str">
        <x:v>NR</x:v>
      </x:c>
      <x:c r="AA164" s="2" t="str">
        <x:v>No</x:v>
      </x:c>
      <x:c r="AB164" s="2" t="str">
        <x:v>No</x:v>
      </x:c>
      <x:c r="AC164" s="6" t="str">
        <x:v>p. 18; Section 5.1</x:v>
      </x:c>
      <x:c r="AD164" s="6" t="str">
        <x:v>we compare four models: RAG and Graph-RAG, each implemented with both GPT-4o and GPT-4o-mini</x:v>
      </x:c>
    </x:row>
    <x:row r="165" ht="76" customHeight="1">
      <x:c r="A165" s="2" t="str">
        <x:v>S20</x:v>
      </x:c>
      <x:c r="B165" s="2" t="str">
        <x:v>2024</x:v>
      </x:c>
      <x:c r="C165" s="2" t="str">
        <x:v>Grey literature</x:v>
      </x:c>
      <x:c r="D165" s="6" t="str">
        <x:v>Leveraging Graph-RAG and Prompt Engineering to Enhance LLM-Based Automated Requirement Traceability and Compliance Checks</x:v>
      </x:c>
      <x:c r="E165" s="2" t="str">
        <x:v>S20-MU08</x:v>
      </x:c>
      <x:c r="F165" s="2" t="str">
        <x:v>S20-O04</x:v>
      </x:c>
      <x:c r="G165" s="2" t="str">
        <x:v>S20-T02</x:v>
      </x:c>
      <x:c r="H165" s="2" t="str">
        <x:v>GPT-4o-mini</x:v>
      </x:c>
      <x:c r="I165" s="2" t="str">
        <x:v>gpt-4o-mini</x:v>
      </x:c>
      <x:c r="J165" s="2" t="str">
        <x:v>GPT</x:v>
      </x:c>
      <x:c r="K165" s="2" t="str">
        <x:v>GPT-4o mini</x:v>
      </x:c>
      <x:c r="L165" s="2" t="str">
        <x:v>Closed</x:v>
      </x:c>
      <x:c r="M165" s="2" t="str">
        <x:v>Closed</x:v>
      </x:c>
      <x:c r="N165" s="6" t="str">
        <x:v>Reported in extraction</x:v>
      </x:c>
      <x:c r="O165" s="2" t="str">
        <x:v>Yes</x:v>
      </x:c>
      <x:c r="P165" s="2" t="str"/>
      <x:c r="Q165" s="2" t="str">
        <x:v>API</x:v>
      </x:c>
      <x:c r="R165" s="2" t="str">
        <x:v>NR</x:v>
      </x:c>
      <x:c r="S165" s="2" t="str">
        <x:v>NR</x:v>
      </x:c>
      <x:c r="T165" s="2" t="str">
        <x:v>NR</x:v>
      </x:c>
      <x:c r="U165" s="2" t="str">
        <x:v>NR</x:v>
      </x:c>
      <x:c r="V165" s="2" t="str">
        <x:v>NR</x:v>
      </x:c>
      <x:c r="W165" s="2" t="str">
        <x:v>NR</x:v>
      </x:c>
      <x:c r="X165" s="2" t="str">
        <x:v>NR</x:v>
      </x:c>
      <x:c r="Y165" s="2" t="str">
        <x:v>NR</x:v>
      </x:c>
      <x:c r="Z165" s="2" t="str">
        <x:v>NR</x:v>
      </x:c>
      <x:c r="AA165" s="2" t="str">
        <x:v>No</x:v>
      </x:c>
      <x:c r="AB165" s="2" t="str">
        <x:v>No</x:v>
      </x:c>
      <x:c r="AC165" s="6" t="str">
        <x:v>p. 18; Section 5.1</x:v>
      </x:c>
      <x:c r="AD165" s="6" t="str">
        <x:v>we compare four models: RAG and Graph-RAG, each implemented with both GPT-4o and GPT-4o-mini</x:v>
      </x:c>
    </x:row>
    <x:row r="166" ht="76" customHeight="1">
      <x:c r="A166" s="2" t="str">
        <x:v>S27</x:v>
      </x:c>
      <x:c r="B166" s="2" t="str">
        <x:v>2025</x:v>
      </x:c>
      <x:c r="C166" s="2" t="str">
        <x:v>Published</x:v>
      </x:c>
      <x:c r="D166" s="6" t="str">
        <x:v>Beyond Retrieval: A Study of Using LLM Ensembles for Candidate Filtering in Requirements Traceability</x:v>
      </x:c>
      <x:c r="E166" s="2" t="str">
        <x:v>S27-MU05</x:v>
      </x:c>
      <x:c r="F166" s="2" t="str">
        <x:v>S27-O02</x:v>
      </x:c>
      <x:c r="G166" s="2" t="str">
        <x:v>S27-T01</x:v>
      </x:c>
      <x:c r="H166" s="2" t="str">
        <x:v>GPT-4o mini (gpt-4o-mini-2024-07-18)</x:v>
      </x:c>
      <x:c r="I166" s="2" t="str">
        <x:v>GPT-4o mini</x:v>
      </x:c>
      <x:c r="J166" s="2" t="str">
        <x:v>GPT</x:v>
      </x:c>
      <x:c r="K166" s="2" t="str">
        <x:v>GPT-4o mini</x:v>
      </x:c>
      <x:c r="L166" s="2" t="str">
        <x:v>Closed</x:v>
      </x:c>
      <x:c r="M166" s="2" t="str">
        <x:v>Closed</x:v>
      </x:c>
      <x:c r="N166" s="6" t="str">
        <x:v>Reported in extraction</x:v>
      </x:c>
      <x:c r="O166" s="2" t="str">
        <x:v>Yes</x:v>
      </x:c>
      <x:c r="P166" s="2" t="str"/>
      <x:c r="Q166" s="2" t="str">
        <x:v>API</x:v>
      </x:c>
      <x:c r="R166" s="2" t="str">
        <x:v>API (OpenAI)</x:v>
      </x:c>
      <x:c r="S166" s="2" t="str">
        <x:v>gpt-4o-mini-2024-07-18</x:v>
      </x:c>
      <x:c r="T166" s="2" t="str">
        <x:v>NR</x:v>
      </x:c>
      <x:c r="U166" s="2" t="str">
        <x:v>NR</x:v>
      </x:c>
      <x:c r="V166" s="2" t="n">
        <x:v>0</x:v>
      </x:c>
      <x:c r="W166" s="2" t="n">
        <x:v>133742243</x:v>
      </x:c>
      <x:c r="X166" s="2" t="str">
        <x:v>NR</x:v>
      </x:c>
      <x:c r="Y166" s="2" t="str">
        <x:v>NR</x:v>
      </x:c>
      <x:c r="Z166" s="2" t="str">
        <x:v>NR</x:v>
      </x:c>
      <x:c r="AA166" s="2" t="str">
        <x:v>No</x:v>
      </x:c>
      <x:c r="AB166" s="2" t="str">
        <x:v>No</x:v>
      </x:c>
      <x:c r="AC166" s="6" t="str">
        <x:v>p. 7; Section IV-B and Section IV-E</x:v>
      </x:c>
      <x:c r="AD166" s="6" t="str">
        <x:v>we fixed the random seed and set the model temperature to 0. Our results are therefore dependent on the specific seed 133742243</x:v>
      </x:c>
    </x:row>
    <x:row r="167" ht="76" customHeight="1">
      <x:c r="A167" s="2" t="str">
        <x:v>S31</x:v>
      </x:c>
      <x:c r="B167" s="2" t="str">
        <x:v>2025</x:v>
      </x:c>
      <x:c r="C167" s="2" t="str">
        <x:v>Published</x:v>
      </x:c>
      <x:c r="D167" s="6" t="str">
        <x:v>Generating Context-Aware Learning Materials for Software Security via LLM Agents and Traceability</x:v>
      </x:c>
      <x:c r="E167" s="2" t="str">
        <x:v>S31-MU02</x:v>
      </x:c>
      <x:c r="F167" s="2" t="str">
        <x:v>S31-O01</x:v>
      </x:c>
      <x:c r="G167" s="2" t="str">
        <x:v>S31-T01</x:v>
      </x:c>
      <x:c r="H167" s="2" t="str">
        <x:v>OpenAI's GPT API</x:v>
      </x:c>
      <x:c r="I167" s="2" t="str">
        <x:v>OpenAI GPT-4o mini</x:v>
      </x:c>
      <x:c r="J167" s="2" t="str">
        <x:v>GPT</x:v>
      </x:c>
      <x:c r="K167" s="2" t="str">
        <x:v>GPT-4o mini</x:v>
      </x:c>
      <x:c r="L167" s="2" t="str">
        <x:v>Closed</x:v>
      </x:c>
      <x:c r="M167" s="2" t="str">
        <x:v>Closed</x:v>
      </x:c>
      <x:c r="N167" s="6" t="str">
        <x:v>Reported in extraction</x:v>
      </x:c>
      <x:c r="O167" s="2" t="str">
        <x:v>Yes</x:v>
      </x:c>
      <x:c r="P167" s="2" t="str"/>
      <x:c r="Q167" s="2" t="str">
        <x:v>API</x:v>
      </x:c>
      <x:c r="R167" s="2" t="str">
        <x:v>Cloud API</x:v>
      </x:c>
      <x:c r="S167" s="2" t="str">
        <x:v>GPT-4o mini</x:v>
      </x:c>
      <x:c r="T167" s="2" t="str">
        <x:v>NR</x:v>
      </x:c>
      <x:c r="U167" s="2" t="str">
        <x:v>NR</x:v>
      </x:c>
      <x:c r="V167" s="2" t="str">
        <x:v>NR</x:v>
      </x:c>
      <x:c r="W167" s="2" t="str">
        <x:v>NR</x:v>
      </x:c>
      <x:c r="X167" s="2" t="str">
        <x:v>NR</x:v>
      </x:c>
      <x:c r="Y167" s="2" t="str">
        <x:v>NR</x:v>
      </x:c>
      <x:c r="Z167" s="2" t="str">
        <x:v>NR</x:v>
      </x:c>
      <x:c r="AA167" s="2" t="str">
        <x:v>No</x:v>
      </x:c>
      <x:c r="AB167" s="2" t="str">
        <x:v>No</x:v>
      </x:c>
      <x:c r="AC167" s="6" t="str">
        <x:v>Paper p. 3, Section III-B; supporting master's thesis Sections 3.2 and 3.4; CrewAI source snapshot, 2025-03-31</x:v>
      </x:c>
      <x:c r="AD167" s="6" t="str">
        <x:v>cloud-based operation through OpenAI's GPT API</x:v>
      </x:c>
    </x:row>
    <x:row r="168" ht="76" customHeight="1">
      <x:c r="A168" s="2" t="str">
        <x:v>S40</x:v>
      </x:c>
      <x:c r="B168" s="2" t="str">
        <x:v>2026</x:v>
      </x:c>
      <x:c r="C168" s="2" t="str">
        <x:v>Published</x:v>
      </x:c>
      <x:c r="D168" s="6" t="str">
        <x:v>A GraphRAG-Based Dual-Path Structural Diffusion Retrieval Framework for Requirement-Code Traceability Link Recovery</x:v>
      </x:c>
      <x:c r="E168" s="2" t="str">
        <x:v>S40-MU02</x:v>
      </x:c>
      <x:c r="F168" s="2" t="str">
        <x:v>S40-O01</x:v>
      </x:c>
      <x:c r="G168" s="2" t="str">
        <x:v>S40-T01</x:v>
      </x:c>
      <x:c r="H168" s="2" t="str">
        <x:v>GPT-4o-mini</x:v>
      </x:c>
      <x:c r="I168" s="2" t="str">
        <x:v>GPT-4o-mini</x:v>
      </x:c>
      <x:c r="J168" s="2" t="str">
        <x:v>GPT</x:v>
      </x:c>
      <x:c r="K168" s="2" t="str">
        <x:v>GPT-4o mini</x:v>
      </x:c>
      <x:c r="L168" s="2" t="str">
        <x:v>Closed</x:v>
      </x:c>
      <x:c r="M168" s="2" t="str">
        <x:v>Closed</x:v>
      </x:c>
      <x:c r="N168" s="6" t="str">
        <x:v>Reported in extraction</x:v>
      </x:c>
      <x:c r="O168" s="2" t="str">
        <x:v>Yes</x:v>
      </x:c>
      <x:c r="P168" s="2" t="str"/>
      <x:c r="Q168" s="2" t="str">
        <x:v>API</x:v>
      </x:c>
      <x:c r="R168" s="2" t="str">
        <x:v>API</x:v>
      </x:c>
      <x:c r="S168" s="2" t="str">
        <x:v>Unclear</x:v>
      </x:c>
      <x:c r="T168" s="2" t="str">
        <x:v>NR</x:v>
      </x:c>
      <x:c r="U168" s="2" t="str">
        <x:v>2026-01-01</x:v>
      </x:c>
      <x:c r="V168" s="2" t="n">
        <x:v>0</x:v>
      </x:c>
      <x:c r="W168" s="2" t="str">
        <x:v>NR</x:v>
      </x:c>
      <x:c r="X168" s="2" t="str">
        <x:v>NR</x:v>
      </x:c>
      <x:c r="Y168" s="2" t="str">
        <x:v>NR</x:v>
      </x:c>
      <x:c r="Z168" s="2" t="str">
        <x:v>NR</x:v>
      </x:c>
      <x:c r="AA168" s="2" t="str">
        <x:v>Yes</x:v>
      </x:c>
      <x:c r="AB168" s="2" t="str">
        <x:v>No</x:v>
      </x:c>
      <x:c r="AC168" s="6" t="str">
        <x:v>p. 14; Section 3.4.3</x:v>
      </x:c>
      <x:c r="AD168" s="6" t="str">
        <x:v>we use GPT-4o as a higher-capacity validator and GPT-4o-mini as a lower-cost validator.</x:v>
      </x:c>
    </x:row>
    <x:row r="169" ht="76" customHeight="1">
      <x:c r="A169" s="2" t="str">
        <x:v>S40</x:v>
      </x:c>
      <x:c r="B169" s="2" t="str">
        <x:v>2026</x:v>
      </x:c>
      <x:c r="C169" s="2" t="str">
        <x:v>Published</x:v>
      </x:c>
      <x:c r="D169" s="6" t="str">
        <x:v>A GraphRAG-Based Dual-Path Structural Diffusion Retrieval Framework for Requirement-Code Traceability Link Recovery</x:v>
      </x:c>
      <x:c r="E169" s="2" t="str">
        <x:v>S40-MU03</x:v>
      </x:c>
      <x:c r="F169" s="2" t="str">
        <x:v>S40-O01</x:v>
      </x:c>
      <x:c r="G169" s="2" t="str">
        <x:v>S40-T01</x:v>
      </x:c>
      <x:c r="H169" s="2" t="str">
        <x:v>GPT-4o-mini</x:v>
      </x:c>
      <x:c r="I169" s="2" t="str">
        <x:v>GPT-4o-mini</x:v>
      </x:c>
      <x:c r="J169" s="2" t="str">
        <x:v>GPT</x:v>
      </x:c>
      <x:c r="K169" s="2" t="str">
        <x:v>GPT-4o mini</x:v>
      </x:c>
      <x:c r="L169" s="2" t="str">
        <x:v>Closed</x:v>
      </x:c>
      <x:c r="M169" s="2" t="str">
        <x:v>Closed</x:v>
      </x:c>
      <x:c r="N169" s="6" t="str">
        <x:v>Reported in extraction</x:v>
      </x:c>
      <x:c r="O169" s="2" t="str">
        <x:v>Yes</x:v>
      </x:c>
      <x:c r="P169" s="2" t="str"/>
      <x:c r="Q169" s="2" t="str">
        <x:v>API</x:v>
      </x:c>
      <x:c r="R169" s="2" t="str">
        <x:v>API</x:v>
      </x:c>
      <x:c r="S169" s="2" t="str">
        <x:v>Unclear</x:v>
      </x:c>
      <x:c r="T169" s="2" t="str">
        <x:v>NR</x:v>
      </x:c>
      <x:c r="U169" s="2" t="str">
        <x:v>2026-01-01</x:v>
      </x:c>
      <x:c r="V169" s="2" t="n">
        <x:v>0</x:v>
      </x:c>
      <x:c r="W169" s="2" t="str">
        <x:v>NR</x:v>
      </x:c>
      <x:c r="X169" s="2" t="str">
        <x:v>NR</x:v>
      </x:c>
      <x:c r="Y169" s="2" t="str">
        <x:v>NR</x:v>
      </x:c>
      <x:c r="Z169" s="2" t="str">
        <x:v>NR</x:v>
      </x:c>
      <x:c r="AA169" s="2" t="str">
        <x:v>Yes</x:v>
      </x:c>
      <x:c r="AB169" s="2" t="str">
        <x:v>No</x:v>
      </x:c>
      <x:c r="AC169" s="6" t="str">
        <x:v>p. 14; Section 3.4.3</x:v>
      </x:c>
      <x:c r="AD169" s="6" t="str">
        <x:v>we additionally report a GPT-4o-mini simple-prompt variant that uses the same retrieved Top-20 candidates but omits the evidence-path field from the validator prompt</x:v>
      </x:c>
    </x:row>
    <x:row r="170" ht="76" customHeight="1">
      <x:c r="A170" s="2" t="str">
        <x:v>S41</x:v>
      </x:c>
      <x:c r="B170" s="2" t="str">
        <x:v>2026</x:v>
      </x:c>
      <x:c r="C170" s="2" t="str">
        <x:v>Published</x:v>
      </x:c>
      <x:c r="D170" s="6" t="str">
        <x:v>SELink: A semantic-enhanced modular framework for issue–commit link recovery</x:v>
      </x:c>
      <x:c r="E170" s="2" t="str">
        <x:v>S41-MU03</x:v>
      </x:c>
      <x:c r="F170" s="2" t="str">
        <x:v>S41-O01</x:v>
      </x:c>
      <x:c r="G170" s="2" t="str">
        <x:v>S41-T01</x:v>
      </x:c>
      <x:c r="H170" s="2" t="str">
        <x:v>ChatGPT-4o-mini</x:v>
      </x:c>
      <x:c r="I170" s="2" t="str">
        <x:v>gpt-4o-mini</x:v>
      </x:c>
      <x:c r="J170" s="2" t="str">
        <x:v>GPT</x:v>
      </x:c>
      <x:c r="K170" s="2" t="str">
        <x:v>GPT-4o mini</x:v>
      </x:c>
      <x:c r="L170" s="2" t="str">
        <x:v>Closed</x:v>
      </x:c>
      <x:c r="M170" s="2" t="str">
        <x:v>Closed</x:v>
      </x:c>
      <x:c r="N170" s="6" t="str">
        <x:v>Reported in extraction</x:v>
      </x:c>
      <x:c r="O170" s="2" t="str">
        <x:v>Yes</x:v>
      </x:c>
      <x:c r="P170" s="2" t="str"/>
      <x:c r="Q170" s="2" t="str">
        <x:v>API</x:v>
      </x:c>
      <x:c r="R170" s="2" t="str">
        <x:v>NR</x:v>
      </x:c>
      <x:c r="S170" s="2" t="str">
        <x:v>4o-mini</x:v>
      </x:c>
      <x:c r="T170" s="2" t="str">
        <x:v>NR</x:v>
      </x:c>
      <x:c r="U170" s="2" t="str">
        <x:v>NR</x:v>
      </x:c>
      <x:c r="V170" s="2" t="n">
        <x:v>0</x:v>
      </x:c>
      <x:c r="W170" s="2" t="str">
        <x:v>NR</x:v>
      </x:c>
      <x:c r="X170" s="2" t="n">
        <x:v>5</x:v>
      </x:c>
      <x:c r="Y170" s="2" t="str">
        <x:v>NR</x:v>
      </x:c>
      <x:c r="Z170" s="2" t="str">
        <x:v>NR</x:v>
      </x:c>
      <x:c r="AA170" s="2" t="str">
        <x:v>No</x:v>
      </x:c>
      <x:c r="AB170" s="2" t="str">
        <x:v>No</x:v>
      </x:c>
      <x:c r="AC170" s="6" t="str">
        <x:v>p. 11; Section 4.4</x:v>
      </x:c>
      <x:c r="AD170"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row>
    <x:row r="171" ht="76" customHeight="1">
      <x:c r="A171" s="2" t="str">
        <x:v>S41</x:v>
      </x:c>
      <x:c r="B171" s="2" t="str">
        <x:v>2026</x:v>
      </x:c>
      <x:c r="C171" s="2" t="str">
        <x:v>Published</x:v>
      </x:c>
      <x:c r="D171" s="6" t="str">
        <x:v>SELink: A semantic-enhanced modular framework for issue–commit link recovery</x:v>
      </x:c>
      <x:c r="E171" s="2" t="str">
        <x:v>S41-MU04</x:v>
      </x:c>
      <x:c r="F171" s="2" t="str">
        <x:v>S41-O02</x:v>
      </x:c>
      <x:c r="G171" s="2" t="str">
        <x:v>S41-T01</x:v>
      </x:c>
      <x:c r="H171" s="2" t="str">
        <x:v>ChatGPT-4o-mini</x:v>
      </x:c>
      <x:c r="I171" s="2" t="str">
        <x:v>gpt-4o-mini</x:v>
      </x:c>
      <x:c r="J171" s="2" t="str">
        <x:v>GPT</x:v>
      </x:c>
      <x:c r="K171" s="2" t="str">
        <x:v>GPT-4o mini</x:v>
      </x:c>
      <x:c r="L171" s="2" t="str">
        <x:v>Closed</x:v>
      </x:c>
      <x:c r="M171" s="2" t="str">
        <x:v>Closed</x:v>
      </x:c>
      <x:c r="N171" s="6" t="str">
        <x:v>Reported in extraction</x:v>
      </x:c>
      <x:c r="O171" s="2" t="str">
        <x:v>Yes</x:v>
      </x:c>
      <x:c r="P171" s="2" t="str"/>
      <x:c r="Q171" s="2" t="str">
        <x:v>API</x:v>
      </x:c>
      <x:c r="R171" s="2" t="str">
        <x:v>NR</x:v>
      </x:c>
      <x:c r="S171" s="2" t="str">
        <x:v>4o-mini</x:v>
      </x:c>
      <x:c r="T171" s="2" t="str">
        <x:v>NR</x:v>
      </x:c>
      <x:c r="U171" s="2" t="str">
        <x:v>NR</x:v>
      </x:c>
      <x:c r="V171" s="2" t="n">
        <x:v>0</x:v>
      </x:c>
      <x:c r="W171" s="2" t="str">
        <x:v>NR</x:v>
      </x:c>
      <x:c r="X171" s="2" t="n">
        <x:v>5</x:v>
      </x:c>
      <x:c r="Y171" s="2" t="str">
        <x:v>NR</x:v>
      </x:c>
      <x:c r="Z171" s="2" t="str">
        <x:v>NR</x:v>
      </x:c>
      <x:c r="AA171" s="2" t="str">
        <x:v>No</x:v>
      </x:c>
      <x:c r="AB171" s="2" t="str">
        <x:v>No</x:v>
      </x:c>
      <x:c r="AC171" s="6" t="str">
        <x:v>p. 11; Section 4.4</x:v>
      </x:c>
      <x:c r="AD171"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row>
    <x:row r="172" ht="76" customHeight="1">
      <x:c r="A172" s="2" t="str">
        <x:v>S42</x:v>
      </x:c>
      <x:c r="B172" s="2" t="str">
        <x:v>2025</x:v>
      </x:c>
      <x:c r="C172" s="2" t="str">
        <x:v>Published</x:v>
      </x:c>
      <x:c r="D172" s="6" t="str">
        <x:v>Requirements Traceability Link Recovery via Retrieval-Augmented Generation</x:v>
      </x:c>
      <x:c r="E172" s="2" t="str">
        <x:v>S42-MU02</x:v>
      </x:c>
      <x:c r="F172" s="2" t="str">
        <x:v>S42-O01</x:v>
      </x:c>
      <x:c r="G172" s="2" t="str">
        <x:v>S42-T01</x:v>
      </x:c>
      <x:c r="H172" s="2" t="str">
        <x:v>GPT-4o mini</x:v>
      </x:c>
      <x:c r="I172" s="2" t="str">
        <x:v>gpt-4o-mini</x:v>
      </x:c>
      <x:c r="J172" s="2" t="str">
        <x:v>GPT</x:v>
      </x:c>
      <x:c r="K172" s="2" t="str">
        <x:v>GPT-4o mini</x:v>
      </x:c>
      <x:c r="L172" s="2" t="str">
        <x:v>Closed</x:v>
      </x:c>
      <x:c r="M172" s="2" t="str">
        <x:v>Closed</x:v>
      </x:c>
      <x:c r="N172" s="6" t="str">
        <x:v>Reported in extraction</x:v>
      </x:c>
      <x:c r="O172" s="2" t="str">
        <x:v>Yes</x:v>
      </x:c>
      <x:c r="P172" s="2" t="str"/>
      <x:c r="Q172" s="2" t="str">
        <x:v>API</x:v>
      </x:c>
      <x:c r="R172" s="2" t="str">
        <x:v>API</x:v>
      </x:c>
      <x:c r="S172" s="2" t="str">
        <x:v>NR</x:v>
      </x:c>
      <x:c r="T172" s="2" t="str">
        <x:v>NR</x:v>
      </x:c>
      <x:c r="U172" s="2" t="str">
        <x:v>NR</x:v>
      </x:c>
      <x:c r="V172" s="2" t="n">
        <x:v>0</x:v>
      </x:c>
      <x:c r="W172" s="2" t="str">
        <x:v>133742243</x:v>
      </x:c>
      <x:c r="X172" s="2" t="str">
        <x:v>Unclear</x:v>
      </x:c>
      <x:c r="Y172" s="2" t="str">
        <x:v>NR</x:v>
      </x:c>
      <x:c r="Z172" s="2" t="str">
        <x:v>NR</x:v>
      </x:c>
      <x:c r="AA172" s="2" t="str">
        <x:v>No</x:v>
      </x:c>
      <x:c r="AB172" s="2" t="str">
        <x:v>No</x:v>
      </x:c>
      <x:c r="AC172" s="6" t="str">
        <x:v>p. 5; Section 4.1</x:v>
      </x:c>
      <x:c r="AD172" s="6" t="str">
        <x:v>our experiments, we set the temperature of the LLMs to zero and set a fixed</x:v>
      </x:c>
    </x:row>
    <x:row r="173" ht="76" customHeight="1">
      <x:c r="A173" s="2" t="str">
        <x:v>S42</x:v>
      </x:c>
      <x:c r="B173" s="2" t="str">
        <x:v>2025</x:v>
      </x:c>
      <x:c r="C173" s="2" t="str">
        <x:v>Published</x:v>
      </x:c>
      <x:c r="D173" s="6" t="str">
        <x:v>Requirements Traceability Link Recovery via Retrieval-Augmented Generation</x:v>
      </x:c>
      <x:c r="E173" s="2" t="str">
        <x:v>S42-MU06</x:v>
      </x:c>
      <x:c r="F173" s="2" t="str">
        <x:v>S42-O01</x:v>
      </x:c>
      <x:c r="G173" s="2" t="str">
        <x:v>S42-T01</x:v>
      </x:c>
      <x:c r="H173" s="2" t="str">
        <x:v>GPT-4o mini</x:v>
      </x:c>
      <x:c r="I173" s="2" t="str">
        <x:v>gpt-4o-mini</x:v>
      </x:c>
      <x:c r="J173" s="2" t="str">
        <x:v>GPT</x:v>
      </x:c>
      <x:c r="K173" s="2" t="str">
        <x:v>GPT-4o mini</x:v>
      </x:c>
      <x:c r="L173" s="2" t="str">
        <x:v>Closed</x:v>
      </x:c>
      <x:c r="M173" s="2" t="str">
        <x:v>Closed</x:v>
      </x:c>
      <x:c r="N173" s="6" t="str">
        <x:v>Reported in extraction</x:v>
      </x:c>
      <x:c r="O173" s="2" t="str">
        <x:v>Yes</x:v>
      </x:c>
      <x:c r="P173" s="2" t="str"/>
      <x:c r="Q173" s="2" t="str">
        <x:v>API</x:v>
      </x:c>
      <x:c r="R173" s="2" t="str">
        <x:v>API</x:v>
      </x:c>
      <x:c r="S173" s="2" t="str">
        <x:v>NR</x:v>
      </x:c>
      <x:c r="T173" s="2" t="str">
        <x:v>NR</x:v>
      </x:c>
      <x:c r="U173" s="2" t="str">
        <x:v>NR</x:v>
      </x:c>
      <x:c r="V173" s="2" t="n">
        <x:v>0</x:v>
      </x:c>
      <x:c r="W173" s="2" t="str">
        <x:v>133742243</x:v>
      </x:c>
      <x:c r="X173" s="2" t="str">
        <x:v>Unclear</x:v>
      </x:c>
      <x:c r="Y173" s="2" t="str">
        <x:v>NR</x:v>
      </x:c>
      <x:c r="Z173" s="2" t="str">
        <x:v>NR</x:v>
      </x:c>
      <x:c r="AA173" s="2" t="str">
        <x:v>No</x:v>
      </x:c>
      <x:c r="AB173" s="2" t="str">
        <x:v>No</x:v>
      </x:c>
      <x:c r="AC173" s="6" t="str">
        <x:v>p. 5; Section 4.1</x:v>
      </x:c>
      <x:c r="AD173" s="6" t="str">
        <x:v>our experiments, we set the temperature of the LLMs to zero and set a fixed</x:v>
      </x:c>
    </x:row>
    <x:row r="174" ht="76" customHeight="1">
      <x:c r="A174" s="2" t="str">
        <x:v>S48</x:v>
      </x:c>
      <x:c r="B174" s="2" t="str">
        <x:v>2026</x:v>
      </x:c>
      <x:c r="C174" s="2" t="str">
        <x:v>Published</x:v>
      </x:c>
      <x:c r="D174" s="6" t="str">
        <x:v>LHGLink: LLM—Enhanced Heterogeneous Graph Learning for Issue–Issue Link Prediction</x:v>
      </x:c>
      <x:c r="E174" s="2" t="str">
        <x:v>S48-MU01</x:v>
      </x:c>
      <x:c r="F174" s="2" t="str">
        <x:v>S48-O01</x:v>
      </x:c>
      <x:c r="G174" s="2" t="str">
        <x:v>S48-T01</x:v>
      </x:c>
      <x:c r="H174" s="2" t="str">
        <x:v>GPT-4o-mini</x:v>
      </x:c>
      <x:c r="I174" s="2" t="str">
        <x:v>GPT-4o-mini</x:v>
      </x:c>
      <x:c r="J174" s="2" t="str">
        <x:v>GPT</x:v>
      </x:c>
      <x:c r="K174" s="2" t="str">
        <x:v>GPT-4o mini</x:v>
      </x:c>
      <x:c r="L174" s="2" t="str">
        <x:v>Closed</x:v>
      </x:c>
      <x:c r="M174" s="2" t="str">
        <x:v>Closed</x:v>
      </x:c>
      <x:c r="N174" s="6" t="str">
        <x:v>Reported in extraction</x:v>
      </x:c>
      <x:c r="O174" s="2" t="str">
        <x:v>Yes</x:v>
      </x:c>
      <x:c r="P174" s="2" t="str"/>
      <x:c r="Q174" s="2" t="str">
        <x:v>API</x:v>
      </x:c>
      <x:c r="R174" s="2" t="str">
        <x:v>API with exponential backoff retry</x:v>
      </x:c>
      <x:c r="S174" s="2" t="str">
        <x:v>GPT-4o-mini</x:v>
      </x:c>
      <x:c r="T174" s="2" t="str">
        <x:v>NR</x:v>
      </x:c>
      <x:c r="U174" s="2" t="str">
        <x:v>NR</x:v>
      </x:c>
      <x:c r="V174" s="2" t="n">
        <x:v>0</x:v>
      </x:c>
      <x:c r="W174" s="2" t="str">
        <x:v>NR</x:v>
      </x:c>
      <x:c r="X174" s="2" t="str">
        <x:v>NR</x:v>
      </x:c>
      <x:c r="Y174" s="2" t="str">
        <x:v>NR</x:v>
      </x:c>
      <x:c r="Z174" s="2" t="str">
        <x:v>NR</x:v>
      </x:c>
      <x:c r="AA174" s="2" t="str">
        <x:v>Yes</x:v>
      </x:c>
      <x:c r="AB174" s="2" t="str">
        <x:v>Yes</x:v>
      </x:c>
      <x:c r="AC174" s="6" t="str">
        <x:v>p. 11; Section IV-D</x:v>
      </x:c>
      <x:c r="AD174" s="6" t="str">
        <x:v>To ensure deterministic output, we set the temperature to 0.</x:v>
      </x:c>
    </x:row>
    <x:row r="175" ht="76" customHeight="1">
      <x:c r="A175" s="2" t="str">
        <x:v>S06</x:v>
      </x:c>
      <x:c r="B175" s="2" t="str">
        <x:v>2026</x:v>
      </x:c>
      <x:c r="C175" s="2" t="str">
        <x:v>Published</x:v>
      </x:c>
      <x:c r="D175" s="6" t="str">
        <x:v>LinkAnchor: An Autonomous LLM-Based Agent for Issue-to-Commit Link Recovery</x:v>
      </x:c>
      <x:c r="E175" s="2" t="str">
        <x:v>S06-MU01</x:v>
      </x:c>
      <x:c r="F175" s="2" t="str">
        <x:v>S06-O01</x:v>
      </x:c>
      <x:c r="G175" s="2" t="str">
        <x:v>S06-T01</x:v>
      </x:c>
      <x:c r="H175" s="2" t="str">
        <x:v>ChatGPT-4o-nano</x:v>
      </x:c>
      <x:c r="I175" s="2" t="str">
        <x:v>chatgpt-4o-nano</x:v>
      </x:c>
      <x:c r="J175" s="2" t="str">
        <x:v>GPT</x:v>
      </x:c>
      <x:c r="K175" s="2" t="str">
        <x:v>GPT-4o nano</x:v>
      </x:c>
      <x:c r="L175" s="2" t="str">
        <x:v>Closed</x:v>
      </x:c>
      <x:c r="M175" s="2" t="str">
        <x:v>Closed</x:v>
      </x:c>
      <x:c r="N175" s="6" t="str">
        <x:v>Reported in extraction</x:v>
      </x:c>
      <x:c r="O175" s="2" t="str">
        <x:v>Yes</x:v>
      </x:c>
      <x:c r="P175" s="2" t="str"/>
      <x:c r="Q175" s="2" t="str">
        <x:v>API</x:v>
      </x:c>
      <x:c r="R175" s="2" t="str">
        <x:v>NR</x:v>
      </x:c>
      <x:c r="S175" s="2" t="str">
        <x:v>4o-nano</x:v>
      </x:c>
      <x:c r="T175" s="2" t="str">
        <x:v>NR</x:v>
      </x:c>
      <x:c r="U175" s="2" t="str">
        <x:v>NR</x:v>
      </x:c>
      <x:c r="V175" s="2" t="str">
        <x:v>NR</x:v>
      </x:c>
      <x:c r="W175" s="2" t="str">
        <x:v>NR</x:v>
      </x:c>
      <x:c r="X175" s="2" t="str">
        <x:v>NR</x:v>
      </x:c>
      <x:c r="Y175" s="2" t="str">
        <x:v>128k</x:v>
      </x:c>
      <x:c r="Z175" s="2" t="str">
        <x:v>NR</x:v>
      </x:c>
      <x:c r="AA175" s="2" t="str">
        <x:v>Yes</x:v>
      </x:c>
      <x:c r="AB175" s="2" t="str">
        <x:v>Yes</x:v>
      </x:c>
      <x:c r="AC175" s="6" t="str">
        <x:v>p. 7; Section V-A3 Model Configuration</x:v>
      </x:c>
      <x:c r="AD175" s="6" t="str">
        <x:v>c) Model Configuration: We used OpenAI’s ChatGPT4o-nano [59] model as the backend LLM, which offers fast performance while maintaining reasonable quality. The context</x:v>
      </x:c>
    </x:row>
    <x:row r="176" ht="76" customHeight="1">
      <x:c r="A176" s="2" t="str">
        <x:v>S02</x:v>
      </x:c>
      <x:c r="B176" s="2" t="str">
        <x:v>2026</x:v>
      </x:c>
      <x:c r="C176" s="2" t="str">
        <x:v>Published</x:v>
      </x:c>
      <x:c r="D176" s="6" t="str">
        <x:v>Who's Who? LLM-assisted Software Traceability with Architecture Entity Recognition</x:v>
      </x:c>
      <x:c r="E176" s="2" t="str">
        <x:v>S02-MU11</x:v>
      </x:c>
      <x:c r="F176" s="2" t="str">
        <x:v>S02-O03</x:v>
      </x:c>
      <x:c r="G176" s="2" t="str">
        <x:v>S02-T02</x:v>
      </x:c>
      <x:c r="H176" s="2" t="str">
        <x:v>GPT-5</x:v>
      </x:c>
      <x:c r="I176" s="2" t="str">
        <x:v>GPT-5</x:v>
      </x:c>
      <x:c r="J176" s="2" t="str">
        <x:v>GPT</x:v>
      </x:c>
      <x:c r="K176" s="2" t="str">
        <x:v>GPT-5</x:v>
      </x:c>
      <x:c r="L176" s="2" t="str">
        <x:v>Closed</x:v>
      </x:c>
      <x:c r="M176" s="2" t="str">
        <x:v>Closed</x:v>
      </x:c>
      <x:c r="N176" s="6" t="str">
        <x:v>Reported in extraction</x:v>
      </x:c>
      <x:c r="O176" s="2" t="str">
        <x:v>Yes</x:v>
      </x:c>
      <x:c r="P176" s="2" t="str"/>
      <x:c r="Q176" s="2" t="str">
        <x:v>API</x:v>
      </x:c>
      <x:c r="R176" s="2" t="str">
        <x:v>NR</x:v>
      </x:c>
      <x:c r="S176" s="2" t="str">
        <x:v>NR</x:v>
      </x:c>
      <x:c r="T176" s="2" t="str">
        <x:v>NR</x:v>
      </x:c>
      <x:c r="U176" s="2" t="str">
        <x:v>NR</x:v>
      </x:c>
      <x:c r="V176" s="2" t="n">
        <x:v>0</x:v>
      </x:c>
      <x:c r="W176" s="2" t="str">
        <x:v>NR</x:v>
      </x:c>
      <x:c r="X176" s="2" t="n">
        <x:v>5</x:v>
      </x:c>
      <x:c r="Y176" s="2" t="str">
        <x:v>NR</x:v>
      </x:c>
      <x:c r="Z176" s="2" t="str">
        <x:v>NR</x:v>
      </x:c>
      <x:c r="AA176" s="2" t="str">
        <x:v>No</x:v>
      </x:c>
      <x:c r="AB176" s="2" t="str">
        <x:v>No</x:v>
      </x:c>
      <x:c r="AC176" s="6" t="str">
        <x:v>p. 18; Section 5.4.2; Section 5.5</x:v>
      </x:c>
      <x:c r="AD176" s="6" t="str">
        <x:v>LLMs: GPT-4o, GPT-4.1, and GPT-5. Since ArTEMiS does not produce deterministic results, we run each configuration five times and report average results with standard deviation. Table 8 shows the results of our evaluation. The best ArTEMiS</x:v>
      </x:c>
    </x:row>
    <x:row r="177" ht="76" customHeight="1">
      <x:c r="A177" s="2" t="str">
        <x:v>S02</x:v>
      </x:c>
      <x:c r="B177" s="2" t="str">
        <x:v>2026</x:v>
      </x:c>
      <x:c r="C177" s="2" t="str">
        <x:v>Published</x:v>
      </x:c>
      <x:c r="D177" s="6" t="str">
        <x:v>Who's Who? LLM-assisted Software Traceability with Architecture Entity Recognition</x:v>
      </x:c>
      <x:c r="E177" s="2" t="str">
        <x:v>S02-MU14</x:v>
      </x:c>
      <x:c r="F177" s="2" t="str">
        <x:v>S02-O03</x:v>
      </x:c>
      <x:c r="G177" s="2" t="str">
        <x:v>S02-T03</x:v>
      </x:c>
      <x:c r="H177" s="2" t="str">
        <x:v>GPT-5</x:v>
      </x:c>
      <x:c r="I177" s="2" t="str">
        <x:v>GPT-5</x:v>
      </x:c>
      <x:c r="J177" s="2" t="str">
        <x:v>GPT</x:v>
      </x:c>
      <x:c r="K177" s="2" t="str">
        <x:v>GPT-5</x:v>
      </x:c>
      <x:c r="L177" s="2" t="str">
        <x:v>Closed</x:v>
      </x:c>
      <x:c r="M177" s="2" t="str">
        <x:v>Closed</x:v>
      </x:c>
      <x:c r="N177" s="6" t="str">
        <x:v>Reported in extraction</x:v>
      </x:c>
      <x:c r="O177" s="2" t="str">
        <x:v>Yes</x:v>
      </x:c>
      <x:c r="P177" s="2" t="str"/>
      <x:c r="Q177" s="2" t="str">
        <x:v>API</x:v>
      </x:c>
      <x:c r="R177" s="2" t="str">
        <x:v>NR</x:v>
      </x:c>
      <x:c r="S177" s="2" t="str">
        <x:v>NR</x:v>
      </x:c>
      <x:c r="T177" s="2" t="str">
        <x:v>NR</x:v>
      </x:c>
      <x:c r="U177" s="2" t="str">
        <x:v>NR</x:v>
      </x:c>
      <x:c r="V177" s="2" t="n">
        <x:v>0</x:v>
      </x:c>
      <x:c r="W177" s="2" t="str">
        <x:v>NR</x:v>
      </x:c>
      <x:c r="X177" s="2" t="n">
        <x:v>5</x:v>
      </x:c>
      <x:c r="Y177" s="2" t="str">
        <x:v>NR</x:v>
      </x:c>
      <x:c r="Z177" s="2" t="str">
        <x:v>NR</x:v>
      </x:c>
      <x:c r="AA177" s="2" t="str">
        <x:v>No</x:v>
      </x:c>
      <x:c r="AB177" s="2" t="str">
        <x:v>No</x:v>
      </x:c>
      <x:c r="AC177" s="6" t="str">
        <x:v>p. 18; Section 5.4.2; Section 5.5</x:v>
      </x:c>
      <x:c r="AD177" s="6" t="str">
        <x:v>LLMs: GPT-4o, GPT-4.1, and GPT-5. Since ArTEMiS does not produce deterministic results, we run each configuration five times and report average results with standard deviation. Table 8 shows the results of our evaluation. The best ArTEMiS</x:v>
      </x:c>
    </x:row>
    <x:row r="178" ht="76" customHeight="1">
      <x:c r="A178" s="2" t="str">
        <x:v>S03</x:v>
      </x:c>
      <x:c r="B178" s="2" t="str">
        <x:v>2026</x:v>
      </x:c>
      <x:c r="C178" s="2" t="str">
        <x:v>Published</x:v>
      </x:c>
      <x:c r="D178" s="6" t="str">
        <x:v>Tracing Domain Services in Application Code using Generative AI</x:v>
      </x:c>
      <x:c r="E178" s="2" t="str">
        <x:v>S03-MU01</x:v>
      </x:c>
      <x:c r="F178" s="2" t="str">
        <x:v>S03-O01</x:v>
      </x:c>
      <x:c r="G178" s="2" t="str">
        <x:v>S03-T01</x:v>
      </x:c>
      <x:c r="H178" s="2" t="str">
        <x:v>OpenAI GPT-5 Nano</x:v>
      </x:c>
      <x:c r="I178" s="2" t="str">
        <x:v>GPT-5 Nano</x:v>
      </x:c>
      <x:c r="J178" s="2" t="str">
        <x:v>GPT</x:v>
      </x:c>
      <x:c r="K178" s="2" t="str">
        <x:v>GPT-5 nano</x:v>
      </x:c>
      <x:c r="L178" s="2" t="str">
        <x:v>Closed</x:v>
      </x:c>
      <x:c r="M178" s="2" t="str">
        <x:v>Closed</x:v>
      </x:c>
      <x:c r="N178" s="6" t="str">
        <x:v>Reported in extraction</x:v>
      </x:c>
      <x:c r="O178" s="2" t="str">
        <x:v>Yes</x:v>
      </x:c>
      <x:c r="P178" s="2" t="str"/>
      <x:c r="Q178" s="2" t="str">
        <x:v>API</x:v>
      </x:c>
      <x:c r="R178" s="2" t="str">
        <x:v>Azure OpenAI API</x:v>
      </x:c>
      <x:c r="S178" s="2" t="str">
        <x:v>gpt-5-nano</x:v>
      </x:c>
      <x:c r="T178" s="2" t="str">
        <x:v>NR</x:v>
      </x:c>
      <x:c r="U178" s="2" t="str">
        <x:v>NR</x:v>
      </x:c>
      <x:c r="V178" s="2" t="n">
        <x:v>1</x:v>
      </x:c>
      <x:c r="W178" s="2" t="str">
        <x:v>NR</x:v>
      </x:c>
      <x:c r="X178" s="2" t="str">
        <x:v>NR</x:v>
      </x:c>
      <x:c r="Y178" s="2" t="str">
        <x:v>NR</x:v>
      </x:c>
      <x:c r="Z178" s="2" t="str">
        <x:v>NR</x:v>
      </x:c>
      <x:c r="AA178" s="2" t="str">
        <x:v>No</x:v>
      </x:c>
      <x:c r="AB178" s="2" t="str">
        <x:v>No</x:v>
      </x:c>
      <x:c r="AC178" s="6" t="str">
        <x:v>p. 4; Section 5.2</x:v>
      </x:c>
      <x:c r="AD178" s="6" t="str">
        <x:v>We used default temperature setting (1.0) and accessed OpenAI gpt-5-nano model via Azure OpenAI API version 2025-01-01-preview.</x:v>
      </x:c>
    </x:row>
    <x:row r="179" ht="76" customHeight="1">
      <x:c r="A179" s="2" t="str">
        <x:v>S10</x:v>
      </x:c>
      <x:c r="B179" s="2" t="str">
        <x:v>2026</x:v>
      </x:c>
      <x:c r="C179" s="2" t="str">
        <x:v>Grey literature</x:v>
      </x:c>
      <x:c r="D179" s="6" t="str">
        <x:v>Think Harder and Don't Overlook Your Options: Revisiting Issue-Commit Linking with LLM-Assisted Retrieval</x:v>
      </x:c>
      <x:c r="E179" s="2" t="str">
        <x:v>S10-MU01</x:v>
      </x:c>
      <x:c r="F179" s="2" t="str">
        <x:v>S10-O01</x:v>
      </x:c>
      <x:c r="G179" s="2" t="str">
        <x:v>S10-T01</x:v>
      </x:c>
      <x:c r="H179" s="2" t="str">
        <x:v>GPT-5.1</x:v>
      </x:c>
      <x:c r="I179" s="2" t="str">
        <x:v>GPT-5.1</x:v>
      </x:c>
      <x:c r="J179" s="2" t="str">
        <x:v>GPT</x:v>
      </x:c>
      <x:c r="K179" s="2" t="str">
        <x:v>GPT-5.1</x:v>
      </x:c>
      <x:c r="L179" s="2" t="str">
        <x:v>Closed</x:v>
      </x:c>
      <x:c r="M179" s="2" t="str">
        <x:v>Closed</x:v>
      </x:c>
      <x:c r="N179" s="6" t="str">
        <x:v>Reported in extraction</x:v>
      </x:c>
      <x:c r="O179" s="2" t="str">
        <x:v>Yes</x:v>
      </x:c>
      <x:c r="P179" s="2" t="str"/>
      <x:c r="Q179" s="2" t="str">
        <x:v>API</x:v>
      </x:c>
      <x:c r="R179" s="2" t="str">
        <x:v>via the OpenAI API, using batch API</x:v>
      </x:c>
      <x:c r="S179" s="2" t="str">
        <x:v>NR</x:v>
      </x:c>
      <x:c r="T179" s="2" t="str">
        <x:v>Unclear</x:v>
      </x:c>
      <x:c r="U179" s="2" t="str">
        <x:v>NR</x:v>
      </x:c>
      <x:c r="V179" s="2" t="str">
        <x:v>NR</x:v>
      </x:c>
      <x:c r="W179" s="2" t="str">
        <x:v>NR</x:v>
      </x:c>
      <x:c r="X179" s="2" t="str">
        <x:v>NR</x:v>
      </x:c>
      <x:c r="Y179" s="2" t="str">
        <x:v>NR</x:v>
      </x:c>
      <x:c r="Z179" s="2" t="str">
        <x:v>NR</x:v>
      </x:c>
      <x:c r="AA179" s="2" t="str">
        <x:v>Yes</x:v>
      </x:c>
      <x:c r="AB179" s="2" t="str">
        <x:v>No</x:v>
      </x:c>
      <x:c r="AC179" s="6" t="str">
        <x:v>p. 4; Section 5.3</x:v>
      </x:c>
      <x:c r="AD179" s="6" t="str">
        <x:v>We evaluated GPT-5.1 via the OpenAI API</x:v>
      </x:c>
    </x:row>
    <x:row r="180" ht="76" customHeight="1">
      <x:c r="A180" s="2" t="str">
        <x:v>S34</x:v>
      </x:c>
      <x:c r="B180" s="2" t="str">
        <x:v>2025</x:v>
      </x:c>
      <x:c r="C180" s="2" t="str">
        <x:v>Grey literature</x:v>
      </x:c>
      <x:c r="D180" s="6" t="str">
        <x:v>Behavioral Augmentation of UML Class Diagrams: An Empirical Study of Large Language Models for Method Generation</x:v>
      </x:c>
      <x:c r="E180" s="2" t="str">
        <x:v>S34-MU03</x:v>
      </x:c>
      <x:c r="F180" s="2" t="str">
        <x:v>S34-O01</x:v>
      </x:c>
      <x:c r="G180" s="2" t="str">
        <x:v>S34-T01</x:v>
      </x:c>
      <x:c r="H180" s="2" t="str">
        <x:v>Grok 3</x:v>
      </x:c>
      <x:c r="I180" s="2" t="str">
        <x:v>Grok 3</x:v>
      </x:c>
      <x:c r="J180" s="2" t="str">
        <x:v>Grok</x:v>
      </x:c>
      <x:c r="K180" s="2" t="str">
        <x:v>Grok 3</x:v>
      </x:c>
      <x:c r="L180" s="2" t="str">
        <x:v>Closed</x:v>
      </x:c>
      <x:c r="M180" s="2" t="str">
        <x:v>Closed</x:v>
      </x:c>
      <x:c r="N180" s="6" t="str">
        <x:v>Reported in extraction</x:v>
      </x:c>
      <x:c r="O180" s="2" t="str">
        <x:v>Yes</x:v>
      </x:c>
      <x:c r="P180" s="2" t="str"/>
      <x:c r="Q180" s="2" t="str">
        <x:v>NR</x:v>
      </x:c>
      <x:c r="R180" s="2" t="str">
        <x:v>NR</x:v>
      </x:c>
      <x:c r="S180" s="2" t="str">
        <x:v>3</x:v>
      </x:c>
      <x:c r="T180" s="2" t="str">
        <x:v>NR</x:v>
      </x:c>
      <x:c r="U180" s="2" t="str">
        <x:v>NR</x:v>
      </x:c>
      <x:c r="V180" s="2" t="str">
        <x:v>NR</x:v>
      </x:c>
      <x:c r="W180" s="2" t="str">
        <x:v>NR</x:v>
      </x:c>
      <x:c r="X180" s="2" t="n">
        <x:v>10</x:v>
      </x:c>
      <x:c r="Y180" s="2" t="str">
        <x:v>NR</x:v>
      </x:c>
      <x:c r="Z180" s="2" t="str">
        <x:v>NR</x:v>
      </x:c>
      <x:c r="AA180" s="2" t="str">
        <x:v>No</x:v>
      </x:c>
      <x:c r="AB180" s="2" t="str">
        <x:v>Yes</x:v>
      </x:c>
      <x:c r="AC180" s="6" t="str">
        <x:v>p. 2; Section 1, last paragraph</x:v>
      </x:c>
      <x:c r="AD180" s="6" t="str">
        <x:v>nine state-of-the-art LLMs—Claude 3.7, Gemini 2.5 Pro, Grok 3, Qwen 3, DeepSeek-R1, GPT-4o, ChatGPT-o3, Llama 4, and Mixtral 8×22B</x:v>
      </x:c>
    </x:row>
    <x:row r="181" ht="76" customHeight="1">
      <x:c r="A181" s="2" t="str">
        <x:v>S34</x:v>
      </x:c>
      <x:c r="B181" s="2" t="str">
        <x:v>2025</x:v>
      </x:c>
      <x:c r="C181" s="2" t="str">
        <x:v>Grey literature</x:v>
      </x:c>
      <x:c r="D181" s="6" t="str">
        <x:v>Behavioral Augmentation of UML Class Diagrams: An Empirical Study of Large Language Models for Method Generation</x:v>
      </x:c>
      <x:c r="E181" s="2" t="str">
        <x:v>S34-MU07</x:v>
      </x:c>
      <x:c r="F181" s="2" t="str">
        <x:v>S34-O01</x:v>
      </x:c>
      <x:c r="G181" s="2" t="str">
        <x:v>S34-T01</x:v>
      </x:c>
      <x:c r="H181" s="2" t="str">
        <x:v>ChatGPT-o3</x:v>
      </x:c>
      <x:c r="I181" s="2" t="str">
        <x:v>ChatGPT-o3</x:v>
      </x:c>
      <x:c r="J181" s="2" t="str">
        <x:v>OpenAI o-series</x:v>
      </x:c>
      <x:c r="K181" s="2" t="str">
        <x:v>OpenAI o3</x:v>
      </x:c>
      <x:c r="L181" s="2" t="str">
        <x:v>Closed</x:v>
      </x:c>
      <x:c r="M181" s="2" t="str">
        <x:v>Closed</x:v>
      </x:c>
      <x:c r="N181" s="6" t="str">
        <x:v>Reported in extraction</x:v>
      </x:c>
      <x:c r="O181" s="2" t="str">
        <x:v>Yes</x:v>
      </x:c>
      <x:c r="P181" s="2" t="str"/>
      <x:c r="Q181" s="2" t="str">
        <x:v>NR</x:v>
      </x:c>
      <x:c r="R181" s="2" t="str">
        <x:v>NR</x:v>
      </x:c>
      <x:c r="S181" s="2" t="str">
        <x:v>o3</x:v>
      </x:c>
      <x:c r="T181" s="2" t="str">
        <x:v>Undisclosed</x:v>
      </x:c>
      <x:c r="U181" s="2" t="str">
        <x:v>NR</x:v>
      </x:c>
      <x:c r="V181" s="2" t="str">
        <x:v>NR</x:v>
      </x:c>
      <x:c r="W181" s="2" t="str">
        <x:v>NR</x:v>
      </x:c>
      <x:c r="X181" s="2" t="n">
        <x:v>10</x:v>
      </x:c>
      <x:c r="Y181" s="2" t="str">
        <x:v>200K tokens</x:v>
      </x:c>
      <x:c r="Z181" s="2" t="str">
        <x:v>NR</x:v>
      </x:c>
      <x:c r="AA181" s="2" t="str">
        <x:v>No</x:v>
      </x:c>
      <x:c r="AB181" s="2" t="str">
        <x:v>Yes</x:v>
      </x:c>
      <x:c r="AC181" s="6" t="str">
        <x:v>p. 2; Section 1, last paragraph</x:v>
      </x:c>
      <x:c r="AD181" s="6" t="str">
        <x:v>nine state-of-the-art LLMs—Claude 3.7, Gemini 2.5 Pro, Grok 3, Qwen 3, DeepSeek-R1, GPT-4o, ChatGPT-o3, Llama 4, and Mixtral 8×22B</x:v>
      </x:c>
    </x:row>
    <x:row r="182" ht="76" customHeight="1">
      <x:c r="A182" s="2" t="str">
        <x:v>S05</x:v>
      </x:c>
      <x:c r="B182" s="2" t="str">
        <x:v>2026</x:v>
      </x:c>
      <x:c r="C182" s="2" t="str">
        <x:v>Published</x:v>
      </x:c>
      <x:c r="D182" s="6" t="str">
        <x:v>Evaluating the Use of LLMs for Documentation to Code Traceability</x:v>
      </x:c>
      <x:c r="E182" s="2" t="str">
        <x:v>S05-MU07</x:v>
      </x:c>
      <x:c r="F182" s="2" t="str">
        <x:v>S05-O03</x:v>
      </x:c>
      <x:c r="G182" s="2" t="str">
        <x:v>S05-T01</x:v>
      </x:c>
      <x:c r="H182" s="2" t="str">
        <x:v>o3-mini</x:v>
      </x:c>
      <x:c r="I182" s="2" t="str">
        <x:v>o3-mini-2025-01-31</x:v>
      </x:c>
      <x:c r="J182" s="2" t="str">
        <x:v>OpenAI o-series</x:v>
      </x:c>
      <x:c r="K182" s="2" t="str">
        <x:v>OpenAI o3-mini</x:v>
      </x:c>
      <x:c r="L182" s="2" t="str">
        <x:v>Closed</x:v>
      </x:c>
      <x:c r="M182" s="2" t="str">
        <x:v>Closed</x:v>
      </x:c>
      <x:c r="N182" s="6" t="str">
        <x:v>Reported in extraction</x:v>
      </x:c>
      <x:c r="O182" s="2" t="str">
        <x:v>Yes</x:v>
      </x:c>
      <x:c r="P182" s="2" t="str"/>
      <x:c r="Q182" s="2" t="str">
        <x:v>API</x:v>
      </x:c>
      <x:c r="R182" s="2" t="str">
        <x:v>Cloud API</x:v>
      </x:c>
      <x:c r="S182" s="2" t="str">
        <x:v>o3-mini-2025-01-31</x:v>
      </x:c>
      <x:c r="T182" s="2" t="str">
        <x:v>NR</x:v>
      </x:c>
      <x:c r="U182" s="2" t="str">
        <x:v>NR</x:v>
      </x:c>
      <x:c r="V182" s="2" t="str">
        <x:v>NR</x:v>
      </x:c>
      <x:c r="W182" s="2" t="str">
        <x:v>NR</x:v>
      </x:c>
      <x:c r="X182" s="2" t="n">
        <x:v>5</x:v>
      </x:c>
      <x:c r="Y182" s="2" t="str">
        <x:v>200k</x:v>
      </x:c>
      <x:c r="Z182" s="2" t="str">
        <x:v>NR</x:v>
      </x:c>
      <x:c r="AA182" s="2" t="str">
        <x:v>No</x:v>
      </x:c>
      <x:c r="AB182" s="2" t="str">
        <x:v>No</x:v>
      </x:c>
      <x:c r="AC182" s="6" t="str">
        <x:v>p. 6; Section 3.1</x:v>
      </x:c>
      <x:c r="AD182" s="6" t="str">
        <x:v>• OpenAI o3-mini (o3-mini-2025-01-31): We also later included OpenAI’s o3-mini to evaluate an LLM specifically highlighted for advanced reasoning capabilities, a trait potentially beneficial for software engineering analysis, while also being designed for cost-efficiency</x:v>
      </x:c>
    </x:row>
    <x:row r="183" ht="76" customHeight="1">
      <x:c r="A183" s="2" t="str">
        <x:v>S05</x:v>
      </x:c>
      <x:c r="B183" s="2" t="str">
        <x:v>2026</x:v>
      </x:c>
      <x:c r="C183" s="2" t="str">
        <x:v>Published</x:v>
      </x:c>
      <x:c r="D183" s="6" t="str">
        <x:v>Evaluating the Use of LLMs for Documentation to Code Traceability</x:v>
      </x:c>
      <x:c r="E183" s="2" t="str">
        <x:v>S05-MU08</x:v>
      </x:c>
      <x:c r="F183" s="2" t="str">
        <x:v>S05-O03</x:v>
      </x:c>
      <x:c r="G183" s="2" t="str">
        <x:v>S05-T02</x:v>
      </x:c>
      <x:c r="H183" s="2" t="str">
        <x:v>o3-mini</x:v>
      </x:c>
      <x:c r="I183" s="2" t="str">
        <x:v>o3-mini-2025-01-31</x:v>
      </x:c>
      <x:c r="J183" s="2" t="str">
        <x:v>OpenAI o-series</x:v>
      </x:c>
      <x:c r="K183" s="2" t="str">
        <x:v>OpenAI o3-mini</x:v>
      </x:c>
      <x:c r="L183" s="2" t="str">
        <x:v>Closed</x:v>
      </x:c>
      <x:c r="M183" s="2" t="str">
        <x:v>Closed</x:v>
      </x:c>
      <x:c r="N183" s="6" t="str">
        <x:v>Reported in extraction</x:v>
      </x:c>
      <x:c r="O183" s="2" t="str">
        <x:v>Yes</x:v>
      </x:c>
      <x:c r="P183" s="2" t="str"/>
      <x:c r="Q183" s="2" t="str">
        <x:v>API</x:v>
      </x:c>
      <x:c r="R183" s="2" t="str">
        <x:v>Cloud API</x:v>
      </x:c>
      <x:c r="S183" s="2" t="str">
        <x:v>o3-mini-2025-01-31</x:v>
      </x:c>
      <x:c r="T183" s="2" t="str">
        <x:v>NR</x:v>
      </x:c>
      <x:c r="U183" s="2" t="str">
        <x:v>NR</x:v>
      </x:c>
      <x:c r="V183" s="2" t="str">
        <x:v>NR</x:v>
      </x:c>
      <x:c r="W183" s="2" t="str">
        <x:v>NR</x:v>
      </x:c>
      <x:c r="X183" s="2" t="n">
        <x:v>5</x:v>
      </x:c>
      <x:c r="Y183" s="2" t="str">
        <x:v>200k</x:v>
      </x:c>
      <x:c r="Z183" s="2" t="str">
        <x:v>NR</x:v>
      </x:c>
      <x:c r="AA183" s="2" t="str">
        <x:v>No</x:v>
      </x:c>
      <x:c r="AB183" s="2" t="str">
        <x:v>No</x:v>
      </x:c>
      <x:c r="AC183" s="6" t="str">
        <x:v>p. 6; Section 3.1</x:v>
      </x:c>
      <x:c r="AD183" s="6" t="str">
        <x:v>• OpenAI o3-mini (o3-mini-2025-01-31): We also later included OpenAI’s o3-mini to evaluate an LLM specifically highlighted for advanced reasoning capabilities, a trait potentially beneficial for software engineering analysis, while also being designed for cost-efficiency</x:v>
      </x:c>
    </x:row>
    <x:row r="184" ht="76" customHeight="1">
      <x:c r="A184" s="2" t="str">
        <x:v>S05</x:v>
      </x:c>
      <x:c r="B184" s="2" t="str">
        <x:v>2026</x:v>
      </x:c>
      <x:c r="C184" s="2" t="str">
        <x:v>Published</x:v>
      </x:c>
      <x:c r="D184" s="6" t="str">
        <x:v>Evaluating the Use of LLMs for Documentation to Code Traceability</x:v>
      </x:c>
      <x:c r="E184" s="2" t="str">
        <x:v>S05-MU09</x:v>
      </x:c>
      <x:c r="F184" s="2" t="str">
        <x:v>S05-O03</x:v>
      </x:c>
      <x:c r="G184" s="2" t="str">
        <x:v>S05-T03</x:v>
      </x:c>
      <x:c r="H184" s="2" t="str">
        <x:v>o3-mini</x:v>
      </x:c>
      <x:c r="I184" s="2" t="str">
        <x:v>o3-mini-2025-01-31</x:v>
      </x:c>
      <x:c r="J184" s="2" t="str">
        <x:v>OpenAI o-series</x:v>
      </x:c>
      <x:c r="K184" s="2" t="str">
        <x:v>OpenAI o3-mini</x:v>
      </x:c>
      <x:c r="L184" s="2" t="str">
        <x:v>Closed</x:v>
      </x:c>
      <x:c r="M184" s="2" t="str">
        <x:v>Closed</x:v>
      </x:c>
      <x:c r="N184" s="6" t="str">
        <x:v>Reported in extraction</x:v>
      </x:c>
      <x:c r="O184" s="2" t="str">
        <x:v>Yes</x:v>
      </x:c>
      <x:c r="P184" s="2" t="str"/>
      <x:c r="Q184" s="2" t="str">
        <x:v>API</x:v>
      </x:c>
      <x:c r="R184" s="2" t="str">
        <x:v>Cloud API</x:v>
      </x:c>
      <x:c r="S184" s="2" t="str">
        <x:v>o3-mini-2025-01-31</x:v>
      </x:c>
      <x:c r="T184" s="2" t="str">
        <x:v>NR</x:v>
      </x:c>
      <x:c r="U184" s="2" t="str">
        <x:v>NR</x:v>
      </x:c>
      <x:c r="V184" s="2" t="str">
        <x:v>NR</x:v>
      </x:c>
      <x:c r="W184" s="2" t="str">
        <x:v>NR</x:v>
      </x:c>
      <x:c r="X184" s="2" t="n">
        <x:v>5</x:v>
      </x:c>
      <x:c r="Y184" s="2" t="str">
        <x:v>200k</x:v>
      </x:c>
      <x:c r="Z184" s="2" t="str">
        <x:v>NR</x:v>
      </x:c>
      <x:c r="AA184" s="2" t="str">
        <x:v>No</x:v>
      </x:c>
      <x:c r="AB184" s="2" t="str">
        <x:v>No</x:v>
      </x:c>
      <x:c r="AC184" s="6" t="str">
        <x:v>p. 6; Section 3.1</x:v>
      </x:c>
      <x:c r="AD184" s="6" t="str">
        <x:v>• OpenAI o3-mini (o3-mini-2025-01-31): We also later included OpenAI’s o3-mini to evaluate an LLM specifically highlighted for advanced reasoning capabilities, a trait potentially beneficial for software engineering analysis, while also being designed for cost-efficiency</x:v>
      </x:c>
    </x:row>
    <x:row r="185" ht="76" customHeight="1">
      <x:c r="A185" s="2" t="str">
        <x:v>S34</x:v>
      </x:c>
      <x:c r="B185" s="2" t="str">
        <x:v>2025</x:v>
      </x:c>
      <x:c r="C185" s="2" t="str">
        <x:v>Grey literature</x:v>
      </x:c>
      <x:c r="D185" s="6" t="str">
        <x:v>Behavioral Augmentation of UML Class Diagrams: An Empirical Study of Large Language Models for Method Generation</x:v>
      </x:c>
      <x:c r="E185" s="2" t="str">
        <x:v>S34-MU05</x:v>
      </x:c>
      <x:c r="F185" s="2" t="str">
        <x:v>S34-O01</x:v>
      </x:c>
      <x:c r="G185" s="2" t="str">
        <x:v>S34-T01</x:v>
      </x:c>
      <x:c r="H185" s="2" t="str">
        <x:v>DeepSeek-R1</x:v>
      </x:c>
      <x:c r="I185" s="2" t="str">
        <x:v>DeepSeek-R1</x:v>
      </x:c>
      <x:c r="J185" s="2" t="str">
        <x:v>DeepSeek</x:v>
      </x:c>
      <x:c r="K185" s="2" t="str">
        <x:v>DeepSeek-R1</x:v>
      </x:c>
      <x:c r="L185" s="2" t="str">
        <x:v>Open weights</x:v>
      </x:c>
      <x:c r="M185" s="2" t="str">
        <x:v>Open weights</x:v>
      </x:c>
      <x:c r="N185" s="6" t="str">
        <x:v>Reported in extraction</x:v>
      </x:c>
      <x:c r="O185" s="2" t="str">
        <x:v>Yes</x:v>
      </x:c>
      <x:c r="P185" s="2" t="str"/>
      <x:c r="Q185" s="2" t="str">
        <x:v>NR</x:v>
      </x:c>
      <x:c r="R185" s="2" t="str">
        <x:v>NR</x:v>
      </x:c>
      <x:c r="S185" s="2" t="str">
        <x:v>R1</x:v>
      </x:c>
      <x:c r="T185" s="2" t="str">
        <x:v>671B total, 37B active</x:v>
      </x:c>
      <x:c r="U185" s="2" t="str">
        <x:v>NR</x:v>
      </x:c>
      <x:c r="V185" s="2" t="str">
        <x:v>NR</x:v>
      </x:c>
      <x:c r="W185" s="2" t="str">
        <x:v>NR</x:v>
      </x:c>
      <x:c r="X185" s="2" t="n">
        <x:v>10</x:v>
      </x:c>
      <x:c r="Y185" s="2" t="str">
        <x:v>163K tokens</x:v>
      </x:c>
      <x:c r="Z185" s="2" t="str">
        <x:v>NR</x:v>
      </x:c>
      <x:c r="AA185" s="2" t="str">
        <x:v>No</x:v>
      </x:c>
      <x:c r="AB185" s="2" t="str">
        <x:v>Yes</x:v>
      </x:c>
      <x:c r="AC185" s="6" t="str">
        <x:v>p. 2; Section 1, last paragraph</x:v>
      </x:c>
      <x:c r="AD185" s="6" t="str">
        <x:v>nine state-of-the-art LLMs—Claude 3.7, Gemini 2.5 Pro, Grok 3, Qwen 3, DeepSeek-R1, GPT-4o, ChatGPT-o3, Llama 4, and Mixtral 8×22B</x:v>
      </x:c>
    </x:row>
    <x:row r="186" ht="76" customHeight="1">
      <x:c r="A186" s="2" t="str">
        <x:v>S37</x:v>
      </x:c>
      <x:c r="B186" s="2" t="str">
        <x:v>2026</x:v>
      </x:c>
      <x:c r="C186" s="2" t="str">
        <x:v>Published</x:v>
      </x:c>
      <x:c r="D186" s="6" t="str">
        <x:v>Iterative Requirements-Driven Business Process Modeling and Verification with Large Language Models</x:v>
      </x:c>
      <x:c r="E186" s="2" t="str">
        <x:v>S37-MU02</x:v>
      </x:c>
      <x:c r="F186" s="2" t="str">
        <x:v>S37-O02</x:v>
      </x:c>
      <x:c r="G186" s="2" t="str">
        <x:v>S37-T01</x:v>
      </x:c>
      <x:c r="H186" s="2" t="str">
        <x:v>Deepseek-R1</x:v>
      </x:c>
      <x:c r="I186" s="2" t="str">
        <x:v>DeepSeek-R1</x:v>
      </x:c>
      <x:c r="J186" s="2" t="str">
        <x:v>DeepSeek</x:v>
      </x:c>
      <x:c r="K186" s="2" t="str">
        <x:v>DeepSeek-R1</x:v>
      </x:c>
      <x:c r="L186" s="2" t="str">
        <x:v>Open weights</x:v>
      </x:c>
      <x:c r="M186" s="2" t="str">
        <x:v>Open weights</x:v>
      </x:c>
      <x:c r="N186" s="6" t="str">
        <x:v>Reported in extraction</x:v>
      </x:c>
      <x:c r="O186" s="2" t="str">
        <x:v>Yes</x:v>
      </x:c>
      <x:c r="P186" s="2" t="str"/>
      <x:c r="Q186" s="2" t="str">
        <x:v>Unclear</x:v>
      </x:c>
      <x:c r="R186" s="2" t="str">
        <x:v>NR</x:v>
      </x:c>
      <x:c r="S186" s="2" t="str">
        <x:v>R1</x:v>
      </x:c>
      <x:c r="T186" s="2" t="str">
        <x:v>NR</x:v>
      </x:c>
      <x:c r="U186" s="2" t="str">
        <x:v>NR</x:v>
      </x:c>
      <x:c r="V186" s="2" t="n">
        <x:v>0.5</x:v>
      </x:c>
      <x:c r="W186" s="2" t="str">
        <x:v>NR</x:v>
      </x:c>
      <x:c r="X186" s="2" t="str">
        <x:v>NR</x:v>
      </x:c>
      <x:c r="Y186" s="2" t="str">
        <x:v>NR</x:v>
      </x:c>
      <x:c r="Z186" s="2" t="str">
        <x:v>NR</x:v>
      </x:c>
      <x:c r="AA186" s="2" t="str">
        <x:v>No</x:v>
      </x:c>
      <x:c r="AB186" s="2" t="str">
        <x:v>No</x:v>
      </x:c>
      <x:c r="AC186" s="6" t="str">
        <x:v>p. 21; Section 5.2 (3)</x:v>
      </x:c>
      <x:c r="AD186" s="6" t="str">
        <x:v>the best temperature of Deepseek-R1 is 0.5m and the max_tokens is 2048 tokens.</x:v>
      </x:c>
    </x:row>
    <x:row r="187" ht="76" customHeight="1">
      <x:c r="A187" s="2" t="str">
        <x:v>S37</x:v>
      </x:c>
      <x:c r="B187" s="2" t="str">
        <x:v>2026</x:v>
      </x:c>
      <x:c r="C187" s="2" t="str">
        <x:v>Published</x:v>
      </x:c>
      <x:c r="D187" s="6" t="str">
        <x:v>Iterative Requirements-Driven Business Process Modeling and Verification with Large Language Models</x:v>
      </x:c>
      <x:c r="E187" s="2" t="str">
        <x:v>S37-MU03</x:v>
      </x:c>
      <x:c r="F187" s="2" t="str">
        <x:v>S37-O03</x:v>
      </x:c>
      <x:c r="G187" s="2" t="str">
        <x:v>S37-T01</x:v>
      </x:c>
      <x:c r="H187" s="2" t="str">
        <x:v>Deepseek-R1</x:v>
      </x:c>
      <x:c r="I187" s="2" t="str">
        <x:v>DeepSeek-R1</x:v>
      </x:c>
      <x:c r="J187" s="2" t="str">
        <x:v>DeepSeek</x:v>
      </x:c>
      <x:c r="K187" s="2" t="str">
        <x:v>DeepSeek-R1</x:v>
      </x:c>
      <x:c r="L187" s="2" t="str">
        <x:v>Open weights</x:v>
      </x:c>
      <x:c r="M187" s="2" t="str">
        <x:v>Open weights</x:v>
      </x:c>
      <x:c r="N187" s="6" t="str">
        <x:v>Reported in extraction</x:v>
      </x:c>
      <x:c r="O187" s="2" t="str">
        <x:v>Yes</x:v>
      </x:c>
      <x:c r="P187" s="2" t="str"/>
      <x:c r="Q187" s="2" t="str">
        <x:v>Unclear</x:v>
      </x:c>
      <x:c r="R187" s="2" t="str">
        <x:v>NR</x:v>
      </x:c>
      <x:c r="S187" s="2" t="str">
        <x:v>R1</x:v>
      </x:c>
      <x:c r="T187" s="2" t="str">
        <x:v>NR</x:v>
      </x:c>
      <x:c r="U187" s="2" t="str">
        <x:v>NR</x:v>
      </x:c>
      <x:c r="V187" s="2" t="n">
        <x:v>0.5</x:v>
      </x:c>
      <x:c r="W187" s="2" t="str">
        <x:v>NR</x:v>
      </x:c>
      <x:c r="X187" s="2" t="str">
        <x:v>NR</x:v>
      </x:c>
      <x:c r="Y187" s="2" t="str">
        <x:v>NR</x:v>
      </x:c>
      <x:c r="Z187" s="2" t="str">
        <x:v>NR</x:v>
      </x:c>
      <x:c r="AA187" s="2" t="str">
        <x:v>No</x:v>
      </x:c>
      <x:c r="AB187" s="2" t="str">
        <x:v>No</x:v>
      </x:c>
      <x:c r="AC187" s="6" t="str">
        <x:v>p. 20; Section 5.1 (3)</x:v>
      </x:c>
      <x:c r="AD187" s="6" t="str">
        <x:v>Deepseek-R1, which integrates a web searching function to build the PFM model according to the prompts in Tables 3 and 4.</x:v>
      </x:c>
    </x:row>
    <x:row r="188" ht="76" customHeight="1">
      <x:c r="A188" s="2" t="str">
        <x:v>S43</x:v>
      </x:c>
      <x:c r="B188" s="2" t="str">
        <x:v>2025</x:v>
      </x:c>
      <x:c r="C188" s="2" t="str">
        <x:v>Published</x:v>
      </x:c>
      <x:c r="D188" s="6" t="str">
        <x:v>HGTRTracer: Advancing Requirements-Code Traceability with LLM-Augmented Attribution Reasoning and Heterogeneous Graph Transformer</x:v>
      </x:c>
      <x:c r="E188" s="2" t="str">
        <x:v>S43-MU03</x:v>
      </x:c>
      <x:c r="F188" s="2" t="str">
        <x:v>S43-O01</x:v>
      </x:c>
      <x:c r="G188" s="2" t="str">
        <x:v>S43-T01</x:v>
      </x:c>
      <x:c r="H188" s="2" t="str">
        <x:v>deepseek R1</x:v>
      </x:c>
      <x:c r="I188" s="2" t="str">
        <x:v>DeepSeek-R1</x:v>
      </x:c>
      <x:c r="J188" s="2" t="str">
        <x:v>DeepSeek</x:v>
      </x:c>
      <x:c r="K188" s="2" t="str">
        <x:v>DeepSeek-R1</x:v>
      </x:c>
      <x:c r="L188" s="2" t="str">
        <x:v>Open weights</x:v>
      </x:c>
      <x:c r="M188" s="2" t="str">
        <x:v>Open weights</x:v>
      </x:c>
      <x:c r="N188" s="6" t="str">
        <x:v>Reported in extraction</x:v>
      </x:c>
      <x:c r="O188" s="2" t="str">
        <x:v>Yes</x:v>
      </x:c>
      <x:c r="P188" s="2" t="str"/>
      <x:c r="Q188" s="2" t="str">
        <x:v>API</x:v>
      </x:c>
      <x:c r="R188" s="2" t="str">
        <x:v>API</x:v>
      </x:c>
      <x:c r="S188" s="2" t="str">
        <x:v>R1</x:v>
      </x:c>
      <x:c r="T188" s="2" t="str">
        <x:v>NR</x:v>
      </x:c>
      <x:c r="U188" s="2" t="str">
        <x:v>Unclear</x:v>
      </x:c>
      <x:c r="V188" s="2" t="str">
        <x:v>NR</x:v>
      </x:c>
      <x:c r="W188" s="2" t="str">
        <x:v>NR</x:v>
      </x:c>
      <x:c r="X188" s="2" t="str">
        <x:v>NR</x:v>
      </x:c>
      <x:c r="Y188" s="2" t="str">
        <x:v>NR</x:v>
      </x:c>
      <x:c r="Z188" s="2" t="str">
        <x:v>NR</x:v>
      </x:c>
      <x:c r="AA188" s="2" t="str">
        <x:v>No</x:v>
      </x:c>
      <x:c r="AB188" s="2" t="str">
        <x:v>No</x:v>
      </x:c>
      <x:c r="AC188" s="6" t="str">
        <x:v>p. 8; Section IV-E</x:v>
      </x:c>
      <x:c r="AD188" s="6" t="str">
        <x:v>the reasoning generation component was implemented using APIs provided by the DeepSeek open platform.</x:v>
      </x:c>
    </x:row>
    <x:row r="189" ht="76" customHeight="1">
      <x:c r="A189" s="2" t="str">
        <x:v>S37</x:v>
      </x:c>
      <x:c r="B189" s="2" t="str">
        <x:v>2026</x:v>
      </x:c>
      <x:c r="C189" s="2" t="str">
        <x:v>Published</x:v>
      </x:c>
      <x:c r="D189" s="6" t="str">
        <x:v>Iterative Requirements-Driven Business Process Modeling and Verification with Large Language Models</x:v>
      </x:c>
      <x:c r="E189" s="2" t="str">
        <x:v>S37-MU01</x:v>
      </x:c>
      <x:c r="F189" s="2" t="str">
        <x:v>S37-O01</x:v>
      </x:c>
      <x:c r="G189" s="2" t="str">
        <x:v>S37-T01</x:v>
      </x:c>
      <x:c r="H189" s="2" t="str">
        <x:v>DeepSeek-V3</x:v>
      </x:c>
      <x:c r="I189" s="2" t="str">
        <x:v>DeepSeek-V3</x:v>
      </x:c>
      <x:c r="J189" s="2" t="str">
        <x:v>DeepSeek</x:v>
      </x:c>
      <x:c r="K189" s="2" t="str">
        <x:v>DeepSeek-V3</x:v>
      </x:c>
      <x:c r="L189" s="2" t="str">
        <x:v>Open weights</x:v>
      </x:c>
      <x:c r="M189" s="2" t="str">
        <x:v>Open weights</x:v>
      </x:c>
      <x:c r="N189" s="6" t="str">
        <x:v>Reported in extraction</x:v>
      </x:c>
      <x:c r="O189" s="2" t="str">
        <x:v>Yes</x:v>
      </x:c>
      <x:c r="P189" s="2" t="str"/>
      <x:c r="Q189" s="2" t="str">
        <x:v>Unclear</x:v>
      </x:c>
      <x:c r="R189" s="2" t="str">
        <x:v>NR</x:v>
      </x:c>
      <x:c r="S189" s="2" t="str">
        <x:v>V3</x:v>
      </x:c>
      <x:c r="T189" s="2" t="str">
        <x:v>NR</x:v>
      </x:c>
      <x:c r="U189" s="2" t="str">
        <x:v>NR</x:v>
      </x:c>
      <x:c r="V189" s="2" t="str">
        <x:v>NR</x:v>
      </x:c>
      <x:c r="W189" s="2" t="str">
        <x:v>NR</x:v>
      </x:c>
      <x:c r="X189" s="2" t="str">
        <x:v>NR</x:v>
      </x:c>
      <x:c r="Y189" s="2" t="str">
        <x:v>NR</x:v>
      </x:c>
      <x:c r="Z189" s="2" t="str">
        <x:v>NR</x:v>
      </x:c>
      <x:c r="AA189" s="2" t="str">
        <x:v>No</x:v>
      </x:c>
      <x:c r="AB189" s="2" t="str">
        <x:v>No</x:v>
      </x:c>
      <x:c r="AC189" s="6" t="str">
        <x:v>p. 20; Section 5.1 (3)</x:v>
      </x:c>
      <x:c r="AD189" s="6" t="str">
        <x:v>This paper uses two open-source LLMs, DeepSeek-V3 for chatting and Deepseek-R1 for model reasoning.</x:v>
      </x:c>
    </x:row>
    <x:row r="190" ht="76" customHeight="1">
      <x:c r="A190" s="2" t="str">
        <x:v>S41</x:v>
      </x:c>
      <x:c r="B190" s="2" t="str">
        <x:v>2026</x:v>
      </x:c>
      <x:c r="C190" s="2" t="str">
        <x:v>Published</x:v>
      </x:c>
      <x:c r="D190" s="6" t="str">
        <x:v>SELink: A semantic-enhanced modular framework for issue–commit link recovery</x:v>
      </x:c>
      <x:c r="E190" s="2" t="str">
        <x:v>S41-MU01</x:v>
      </x:c>
      <x:c r="F190" s="2" t="str">
        <x:v>S41-O01</x:v>
      </x:c>
      <x:c r="G190" s="2" t="str">
        <x:v>S41-T01</x:v>
      </x:c>
      <x:c r="H190" s="2" t="str">
        <x:v>DeepSeek-v3</x:v>
      </x:c>
      <x:c r="I190" s="2" t="str">
        <x:v>deepseek-v3</x:v>
      </x:c>
      <x:c r="J190" s="2" t="str">
        <x:v>DeepSeek</x:v>
      </x:c>
      <x:c r="K190" s="2" t="str">
        <x:v>DeepSeek-V3</x:v>
      </x:c>
      <x:c r="L190" s="2" t="str">
        <x:v>Open weights</x:v>
      </x:c>
      <x:c r="M190" s="2" t="str">
        <x:v>Open weights</x:v>
      </x:c>
      <x:c r="N190" s="6" t="str">
        <x:v>Reported in extraction</x:v>
      </x:c>
      <x:c r="O190" s="2" t="str">
        <x:v>Yes</x:v>
      </x:c>
      <x:c r="P190" s="2" t="str"/>
      <x:c r="Q190" s="2" t="str">
        <x:v>NR</x:v>
      </x:c>
      <x:c r="R190" s="2" t="str">
        <x:v>NR</x:v>
      </x:c>
      <x:c r="S190" s="2" t="str">
        <x:v>v3</x:v>
      </x:c>
      <x:c r="T190" s="2" t="str">
        <x:v>NR</x:v>
      </x:c>
      <x:c r="U190" s="2" t="str">
        <x:v>NR</x:v>
      </x:c>
      <x:c r="V190" s="2" t="n">
        <x:v>0</x:v>
      </x:c>
      <x:c r="W190" s="2" t="str">
        <x:v>NR</x:v>
      </x:c>
      <x:c r="X190" s="2" t="n">
        <x:v>5</x:v>
      </x:c>
      <x:c r="Y190" s="2" t="str">
        <x:v>NR</x:v>
      </x:c>
      <x:c r="Z190" s="2" t="str">
        <x:v>NR</x:v>
      </x:c>
      <x:c r="AA190" s="2" t="str">
        <x:v>No</x:v>
      </x:c>
      <x:c r="AB190" s="2" t="str">
        <x:v>No</x:v>
      </x:c>
      <x:c r="AC190" s="6" t="str">
        <x:v>p. 6; Section 3.1</x:v>
      </x:c>
      <x:c r="AD190" s="6" t="str">
        <x:v>prediction engine. In this study, SELink adopt the state-ofthe-art DeepSeek-v3 for both summarization and semantic</x:v>
      </x:c>
    </x:row>
    <x:row r="191" ht="76" customHeight="1">
      <x:c r="A191" s="2" t="str">
        <x:v>S41</x:v>
      </x:c>
      <x:c r="B191" s="2" t="str">
        <x:v>2026</x:v>
      </x:c>
      <x:c r="C191" s="2" t="str">
        <x:v>Published</x:v>
      </x:c>
      <x:c r="D191" s="6" t="str">
        <x:v>SELink: A semantic-enhanced modular framework for issue–commit link recovery</x:v>
      </x:c>
      <x:c r="E191" s="2" t="str">
        <x:v>S41-MU02</x:v>
      </x:c>
      <x:c r="F191" s="2" t="str">
        <x:v>S41-O02</x:v>
      </x:c>
      <x:c r="G191" s="2" t="str">
        <x:v>S41-T01</x:v>
      </x:c>
      <x:c r="H191" s="2" t="str">
        <x:v>DeepSeek-v3</x:v>
      </x:c>
      <x:c r="I191" s="2" t="str">
        <x:v>deepseek-v3</x:v>
      </x:c>
      <x:c r="J191" s="2" t="str">
        <x:v>DeepSeek</x:v>
      </x:c>
      <x:c r="K191" s="2" t="str">
        <x:v>DeepSeek-V3</x:v>
      </x:c>
      <x:c r="L191" s="2" t="str">
        <x:v>Open weights</x:v>
      </x:c>
      <x:c r="M191" s="2" t="str">
        <x:v>Open weights</x:v>
      </x:c>
      <x:c r="N191" s="6" t="str">
        <x:v>Reported in extraction</x:v>
      </x:c>
      <x:c r="O191" s="2" t="str">
        <x:v>Yes</x:v>
      </x:c>
      <x:c r="P191" s="2" t="str"/>
      <x:c r="Q191" s="2" t="str">
        <x:v>NR</x:v>
      </x:c>
      <x:c r="R191" s="2" t="str">
        <x:v>NR</x:v>
      </x:c>
      <x:c r="S191" s="2" t="str">
        <x:v>v3</x:v>
      </x:c>
      <x:c r="T191" s="2" t="str">
        <x:v>NR</x:v>
      </x:c>
      <x:c r="U191" s="2" t="str">
        <x:v>NR</x:v>
      </x:c>
      <x:c r="V191" s="2" t="n">
        <x:v>0</x:v>
      </x:c>
      <x:c r="W191" s="2" t="str">
        <x:v>NR</x:v>
      </x:c>
      <x:c r="X191" s="2" t="n">
        <x:v>5</x:v>
      </x:c>
      <x:c r="Y191" s="2" t="str">
        <x:v>NR</x:v>
      </x:c>
      <x:c r="Z191" s="2" t="str">
        <x:v>NR</x:v>
      </x:c>
      <x:c r="AA191" s="2" t="str">
        <x:v>No</x:v>
      </x:c>
      <x:c r="AB191" s="2" t="str">
        <x:v>No</x:v>
      </x:c>
      <x:c r="AC191" s="6" t="str">
        <x:v>p. 6; Section 3.1</x:v>
      </x:c>
      <x:c r="AD191" s="6" t="str">
        <x:v>prediction engine. In this study, SELink adopt the state-ofthe-art DeepSeek-v3 for both summarization and semantic</x:v>
      </x:c>
    </x:row>
    <x:row r="192" ht="76" customHeight="1">
      <x:c r="A192" s="2" t="str">
        <x:v>S43</x:v>
      </x:c>
      <x:c r="B192" s="2" t="str">
        <x:v>2025</x:v>
      </x:c>
      <x:c r="C192" s="2" t="str">
        <x:v>Published</x:v>
      </x:c>
      <x:c r="D192" s="6" t="str">
        <x:v>HGTRTracer: Advancing Requirements-Code Traceability with LLM-Augmented Attribution Reasoning and Heterogeneous Graph Transformer</x:v>
      </x:c>
      <x:c r="E192" s="2" t="str">
        <x:v>S43-MU04</x:v>
      </x:c>
      <x:c r="F192" s="2" t="str">
        <x:v>S43-O01</x:v>
      </x:c>
      <x:c r="G192" s="2" t="str">
        <x:v>S43-T01</x:v>
      </x:c>
      <x:c r="H192" s="2" t="str">
        <x:v>deepseek V3</x:v>
      </x:c>
      <x:c r="I192" s="2" t="str">
        <x:v>DeepSeek-V3</x:v>
      </x:c>
      <x:c r="J192" s="2" t="str">
        <x:v>DeepSeek</x:v>
      </x:c>
      <x:c r="K192" s="2" t="str">
        <x:v>DeepSeek-V3</x:v>
      </x:c>
      <x:c r="L192" s="2" t="str">
        <x:v>Open weights</x:v>
      </x:c>
      <x:c r="M192" s="2" t="str">
        <x:v>Open weights</x:v>
      </x:c>
      <x:c r="N192" s="6" t="str">
        <x:v>Reported in extraction</x:v>
      </x:c>
      <x:c r="O192" s="2" t="str">
        <x:v>Yes</x:v>
      </x:c>
      <x:c r="P192" s="2" t="str"/>
      <x:c r="Q192" s="2" t="str">
        <x:v>API</x:v>
      </x:c>
      <x:c r="R192" s="2" t="str">
        <x:v>API</x:v>
      </x:c>
      <x:c r="S192" s="2" t="str">
        <x:v>V3</x:v>
      </x:c>
      <x:c r="T192" s="2" t="str">
        <x:v>NR</x:v>
      </x:c>
      <x:c r="U192" s="2" t="str">
        <x:v>Unclear</x:v>
      </x:c>
      <x:c r="V192" s="2" t="str">
        <x:v>NR</x:v>
      </x:c>
      <x:c r="W192" s="2" t="str">
        <x:v>NR</x:v>
      </x:c>
      <x:c r="X192" s="2" t="str">
        <x:v>NR</x:v>
      </x:c>
      <x:c r="Y192" s="2" t="str">
        <x:v>NR</x:v>
      </x:c>
      <x:c r="Z192" s="2" t="str">
        <x:v>NR</x:v>
      </x:c>
      <x:c r="AA192" s="2" t="str">
        <x:v>No</x:v>
      </x:c>
      <x:c r="AB192" s="2" t="str">
        <x:v>No</x:v>
      </x:c>
      <x:c r="AC192" s="6" t="str">
        <x:v>p. 8; Section IV-E</x:v>
      </x:c>
      <x:c r="AD192" s="6" t="str">
        <x:v>the reasoning generation component was implemented using APIs provided by the DeepSeek open platform.</x:v>
      </x:c>
    </x:row>
    <x:row r="193" ht="76" customHeight="1">
      <x:c r="A193" s="2" t="str">
        <x:v>S11</x:v>
      </x:c>
      <x:c r="B193" s="2" t="str">
        <x:v>2026</x:v>
      </x:c>
      <x:c r="C193" s="2" t="str">
        <x:v>Grey literature</x:v>
      </x:c>
      <x:c r="D193" s="6" t="str">
        <x:v>R2Code: A Self-Reflective LLM Framework for Requirements-to-Code Traceability</x:v>
      </x:c>
      <x:c r="E193" s="2" t="str">
        <x:v>S11-MU01</x:v>
      </x:c>
      <x:c r="F193" s="2" t="str">
        <x:v>S11-O01</x:v>
      </x:c>
      <x:c r="G193" s="2" t="str">
        <x:v>S11-T01</x:v>
      </x:c>
      <x:c r="H193" s="2" t="str">
        <x:v>DeepSeek-V3.1-Terminus</x:v>
      </x:c>
      <x:c r="I193" s="2" t="str">
        <x:v>deepseek-v3-terminus</x:v>
      </x:c>
      <x:c r="J193" s="2" t="str">
        <x:v>DeepSeek</x:v>
      </x:c>
      <x:c r="K193" s="2" t="str">
        <x:v>DeepSeek-V3.1 Terminus</x:v>
      </x:c>
      <x:c r="L193" s="2" t="str">
        <x:v>Open weights</x:v>
      </x:c>
      <x:c r="M193" s="2" t="str">
        <x:v>Open weights</x:v>
      </x:c>
      <x:c r="N193" s="6" t="str">
        <x:v>Reported in extraction</x:v>
      </x:c>
      <x:c r="O193" s="2" t="str">
        <x:v>Yes</x:v>
      </x:c>
      <x:c r="P193" s="2" t="str"/>
      <x:c r="Q193" s="2" t="str">
        <x:v>API</x:v>
      </x:c>
      <x:c r="R193" s="2" t="str">
        <x:v>API</x:v>
      </x:c>
      <x:c r="S193" s="2" t="str">
        <x:v>V3.1-Terminus</x:v>
      </x:c>
      <x:c r="T193" s="2" t="str">
        <x:v>NR</x:v>
      </x:c>
      <x:c r="U193" s="2" t="str">
        <x:v>Unclear</x:v>
      </x:c>
      <x:c r="V193" s="2" t="n">
        <x:v>0</x:v>
      </x:c>
      <x:c r="W193" s="2" t="n">
        <x:v>42</x:v>
      </x:c>
      <x:c r="X193" s="2" t="n">
        <x:v>1</x:v>
      </x:c>
      <x:c r="Y193" s="2" t="str">
        <x:v>NR</x:v>
      </x:c>
      <x:c r="Z193" s="2" t="str">
        <x:v>NR</x:v>
      </x:c>
      <x:c r="AA193" s="2" t="str">
        <x:v>Yes</x:v>
      </x:c>
      <x:c r="AB193" s="2" t="str">
        <x:v>Yes</x:v>
      </x:c>
      <x:c r="AC193" s="6" t="str">
        <x:v>p. 6; Section IV-B</x:v>
      </x:c>
      <x:c r="AD193" s="6" t="str">
        <x:v>random seed fixed to 42.</x:v>
      </x:c>
    </x:row>
    <x:row r="194" ht="76" customHeight="1">
      <x:c r="A194" s="2" t="str">
        <x:v>S11</x:v>
      </x:c>
      <x:c r="B194" s="2" t="str">
        <x:v>2026</x:v>
      </x:c>
      <x:c r="C194" s="2" t="str">
        <x:v>Grey literature</x:v>
      </x:c>
      <x:c r="D194" s="6" t="str">
        <x:v>R2Code: A Self-Reflective LLM Framework for Requirements-to-Code Traceability</x:v>
      </x:c>
      <x:c r="E194" s="2" t="str">
        <x:v>S11-MU02</x:v>
      </x:c>
      <x:c r="F194" s="2" t="str">
        <x:v>S11-O02</x:v>
      </x:c>
      <x:c r="G194" s="2" t="str">
        <x:v>S11-T01</x:v>
      </x:c>
      <x:c r="H194" s="2" t="str">
        <x:v>DeepSeek-V3.1-Terminus</x:v>
      </x:c>
      <x:c r="I194" s="2" t="str">
        <x:v>deepseek-v3-terminus</x:v>
      </x:c>
      <x:c r="J194" s="2" t="str">
        <x:v>DeepSeek</x:v>
      </x:c>
      <x:c r="K194" s="2" t="str">
        <x:v>DeepSeek-V3.1 Terminus</x:v>
      </x:c>
      <x:c r="L194" s="2" t="str">
        <x:v>Open weights</x:v>
      </x:c>
      <x:c r="M194" s="2" t="str">
        <x:v>Open weights</x:v>
      </x:c>
      <x:c r="N194" s="6" t="str">
        <x:v>Reported in extraction</x:v>
      </x:c>
      <x:c r="O194" s="2" t="str">
        <x:v>Yes</x:v>
      </x:c>
      <x:c r="P194" s="2" t="str"/>
      <x:c r="Q194" s="2" t="str">
        <x:v>API</x:v>
      </x:c>
      <x:c r="R194" s="2" t="str">
        <x:v>API</x:v>
      </x:c>
      <x:c r="S194" s="2" t="str">
        <x:v>V3.1-Terminus</x:v>
      </x:c>
      <x:c r="T194" s="2" t="str">
        <x:v>NR</x:v>
      </x:c>
      <x:c r="U194" s="2" t="str">
        <x:v>Unclear</x:v>
      </x:c>
      <x:c r="V194" s="2" t="n">
        <x:v>0</x:v>
      </x:c>
      <x:c r="W194" s="2" t="n">
        <x:v>42</x:v>
      </x:c>
      <x:c r="X194" s="2" t="n">
        <x:v>1</x:v>
      </x:c>
      <x:c r="Y194" s="2" t="str">
        <x:v>NR</x:v>
      </x:c>
      <x:c r="Z194" s="2" t="str">
        <x:v>NR</x:v>
      </x:c>
      <x:c r="AA194" s="2" t="str">
        <x:v>Yes</x:v>
      </x:c>
      <x:c r="AB194" s="2" t="str">
        <x:v>Yes</x:v>
      </x:c>
      <x:c r="AC194" s="6" t="str">
        <x:v>p. 6; Section IV-B</x:v>
      </x:c>
      <x:c r="AD194" s="6" t="str">
        <x:v>random seed fixed to 42.</x:v>
      </x:c>
    </x:row>
    <x:row r="195" ht="76" customHeight="1">
      <x:c r="A195" s="2" t="str">
        <x:v>S11</x:v>
      </x:c>
      <x:c r="B195" s="2" t="str">
        <x:v>2026</x:v>
      </x:c>
      <x:c r="C195" s="2" t="str">
        <x:v>Grey literature</x:v>
      </x:c>
      <x:c r="D195" s="6" t="str">
        <x:v>R2Code: A Self-Reflective LLM Framework for Requirements-to-Code Traceability</x:v>
      </x:c>
      <x:c r="E195" s="2" t="str">
        <x:v>S11-MU03</x:v>
      </x:c>
      <x:c r="F195" s="2" t="str">
        <x:v>S11-O03</x:v>
      </x:c>
      <x:c r="G195" s="2" t="str">
        <x:v>S11-T01</x:v>
      </x:c>
      <x:c r="H195" s="2" t="str">
        <x:v>DeepSeek-V3.1-Terminus</x:v>
      </x:c>
      <x:c r="I195" s="2" t="str">
        <x:v>deepseek-v3-terminus</x:v>
      </x:c>
      <x:c r="J195" s="2" t="str">
        <x:v>DeepSeek</x:v>
      </x:c>
      <x:c r="K195" s="2" t="str">
        <x:v>DeepSeek-V3.1 Terminus</x:v>
      </x:c>
      <x:c r="L195" s="2" t="str">
        <x:v>Open weights</x:v>
      </x:c>
      <x:c r="M195" s="2" t="str">
        <x:v>Open weights</x:v>
      </x:c>
      <x:c r="N195" s="6" t="str">
        <x:v>Reported in extraction</x:v>
      </x:c>
      <x:c r="O195" s="2" t="str">
        <x:v>Yes</x:v>
      </x:c>
      <x:c r="P195" s="2" t="str"/>
      <x:c r="Q195" s="2" t="str">
        <x:v>API</x:v>
      </x:c>
      <x:c r="R195" s="2" t="str">
        <x:v>API</x:v>
      </x:c>
      <x:c r="S195" s="2" t="str">
        <x:v>V3.1-Terminus</x:v>
      </x:c>
      <x:c r="T195" s="2" t="str">
        <x:v>NR</x:v>
      </x:c>
      <x:c r="U195" s="2" t="str">
        <x:v>Unclear</x:v>
      </x:c>
      <x:c r="V195" s="2" t="n">
        <x:v>0</x:v>
      </x:c>
      <x:c r="W195" s="2" t="n">
        <x:v>42</x:v>
      </x:c>
      <x:c r="X195" s="2" t="n">
        <x:v>1</x:v>
      </x:c>
      <x:c r="Y195" s="2" t="str">
        <x:v>NR</x:v>
      </x:c>
      <x:c r="Z195" s="2" t="str">
        <x:v>NR</x:v>
      </x:c>
      <x:c r="AA195" s="2" t="str">
        <x:v>Yes</x:v>
      </x:c>
      <x:c r="AB195" s="2" t="str">
        <x:v>Yes</x:v>
      </x:c>
      <x:c r="AC195" s="6" t="str">
        <x:v>p. 6; Section IV-B</x:v>
      </x:c>
      <x:c r="AD195" s="6" t="str">
        <x:v>random seed fixed to 42.</x:v>
      </x:c>
    </x:row>
    <x:row r="196" ht="76" customHeight="1">
      <x:c r="A196" s="2" t="str">
        <x:v>S11</x:v>
      </x:c>
      <x:c r="B196" s="2" t="str">
        <x:v>2026</x:v>
      </x:c>
      <x:c r="C196" s="2" t="str">
        <x:v>Grey literature</x:v>
      </x:c>
      <x:c r="D196" s="6" t="str">
        <x:v>R2Code: A Self-Reflective LLM Framework for Requirements-to-Code Traceability</x:v>
      </x:c>
      <x:c r="E196" s="2" t="str">
        <x:v>S11-MU04</x:v>
      </x:c>
      <x:c r="F196" s="2" t="str">
        <x:v>S11-O04</x:v>
      </x:c>
      <x:c r="G196" s="2" t="str">
        <x:v>S11-T01</x:v>
      </x:c>
      <x:c r="H196" s="2" t="str">
        <x:v>DeepSeek-V3.1-Terminus</x:v>
      </x:c>
      <x:c r="I196" s="2" t="str">
        <x:v>deepseek-v3-terminus</x:v>
      </x:c>
      <x:c r="J196" s="2" t="str">
        <x:v>DeepSeek</x:v>
      </x:c>
      <x:c r="K196" s="2" t="str">
        <x:v>DeepSeek-V3.1 Terminus</x:v>
      </x:c>
      <x:c r="L196" s="2" t="str">
        <x:v>Open weights</x:v>
      </x:c>
      <x:c r="M196" s="2" t="str">
        <x:v>Open weights</x:v>
      </x:c>
      <x:c r="N196" s="6" t="str">
        <x:v>Reported in extraction</x:v>
      </x:c>
      <x:c r="O196" s="2" t="str">
        <x:v>Yes</x:v>
      </x:c>
      <x:c r="P196" s="2" t="str"/>
      <x:c r="Q196" s="2" t="str">
        <x:v>API</x:v>
      </x:c>
      <x:c r="R196" s="2" t="str">
        <x:v>API</x:v>
      </x:c>
      <x:c r="S196" s="2" t="str">
        <x:v>V3.1-Terminus</x:v>
      </x:c>
      <x:c r="T196" s="2" t="str">
        <x:v>NR</x:v>
      </x:c>
      <x:c r="U196" s="2" t="str">
        <x:v>Unclear</x:v>
      </x:c>
      <x:c r="V196" s="2" t="n">
        <x:v>0</x:v>
      </x:c>
      <x:c r="W196" s="2" t="n">
        <x:v>42</x:v>
      </x:c>
      <x:c r="X196" s="2" t="n">
        <x:v>1</x:v>
      </x:c>
      <x:c r="Y196" s="2" t="str">
        <x:v>NR</x:v>
      </x:c>
      <x:c r="Z196" s="2" t="str">
        <x:v>NR</x:v>
      </x:c>
      <x:c r="AA196" s="2" t="str">
        <x:v>Yes</x:v>
      </x:c>
      <x:c r="AB196" s="2" t="str">
        <x:v>Yes</x:v>
      </x:c>
      <x:c r="AC196" s="6" t="str">
        <x:v>p. 6; Section IV-B</x:v>
      </x:c>
      <x:c r="AD196" s="6" t="str">
        <x:v>random seed fixed to 42.</x:v>
      </x:c>
    </x:row>
    <x:row r="197" ht="76" customHeight="1">
      <x:c r="A197" s="2" t="str">
        <x:v>S11</x:v>
      </x:c>
      <x:c r="B197" s="2" t="str">
        <x:v>2026</x:v>
      </x:c>
      <x:c r="C197" s="2" t="str">
        <x:v>Grey literature</x:v>
      </x:c>
      <x:c r="D197" s="6" t="str">
        <x:v>R2Code: A Self-Reflective LLM Framework for Requirements-to-Code Traceability</x:v>
      </x:c>
      <x:c r="E197" s="2" t="str">
        <x:v>S11-MU05</x:v>
      </x:c>
      <x:c r="F197" s="2" t="str">
        <x:v>S11-O05</x:v>
      </x:c>
      <x:c r="G197" s="2" t="str">
        <x:v>S11-T01</x:v>
      </x:c>
      <x:c r="H197" s="2" t="str">
        <x:v>DeepSeek-V3.1-Terminus</x:v>
      </x:c>
      <x:c r="I197" s="2" t="str">
        <x:v>deepseek-v3-terminus</x:v>
      </x:c>
      <x:c r="J197" s="2" t="str">
        <x:v>DeepSeek</x:v>
      </x:c>
      <x:c r="K197" s="2" t="str">
        <x:v>DeepSeek-V3.1 Terminus</x:v>
      </x:c>
      <x:c r="L197" s="2" t="str">
        <x:v>Open weights</x:v>
      </x:c>
      <x:c r="M197" s="2" t="str">
        <x:v>Open weights</x:v>
      </x:c>
      <x:c r="N197" s="6" t="str">
        <x:v>Reported in extraction</x:v>
      </x:c>
      <x:c r="O197" s="2" t="str">
        <x:v>Yes</x:v>
      </x:c>
      <x:c r="P197" s="2" t="str"/>
      <x:c r="Q197" s="2" t="str">
        <x:v>API</x:v>
      </x:c>
      <x:c r="R197" s="2" t="str">
        <x:v>API</x:v>
      </x:c>
      <x:c r="S197" s="2" t="str">
        <x:v>V3.1-Terminus</x:v>
      </x:c>
      <x:c r="T197" s="2" t="str">
        <x:v>NR</x:v>
      </x:c>
      <x:c r="U197" s="2" t="str">
        <x:v>Unclear</x:v>
      </x:c>
      <x:c r="V197" s="2" t="n">
        <x:v>0</x:v>
      </x:c>
      <x:c r="W197" s="2" t="n">
        <x:v>42</x:v>
      </x:c>
      <x:c r="X197" s="2" t="n">
        <x:v>1</x:v>
      </x:c>
      <x:c r="Y197" s="2" t="str">
        <x:v>NR</x:v>
      </x:c>
      <x:c r="Z197" s="2" t="str">
        <x:v>NR</x:v>
      </x:c>
      <x:c r="AA197" s="2" t="str">
        <x:v>Yes</x:v>
      </x:c>
      <x:c r="AB197" s="2" t="str">
        <x:v>Yes</x:v>
      </x:c>
      <x:c r="AC197" s="6" t="str">
        <x:v>p. 6; Section IV-B</x:v>
      </x:c>
      <x:c r="AD197" s="6" t="str">
        <x:v>random seed fixed to 42.</x:v>
      </x:c>
    </x:row>
    <x:row r="198" ht="76" customHeight="1">
      <x:c r="A198" s="2" t="str">
        <x:v>S38</x:v>
      </x:c>
      <x:c r="B198" s="2" t="str">
        <x:v>2026</x:v>
      </x:c>
      <x:c r="C198" s="2" t="str">
        <x:v>Published</x:v>
      </x:c>
      <x:c r="D198" s="6" t="str">
        <x:v>LusGen: Leveraging LLMs for Safety-Critical Lustre Design and Requirements Traceability</x:v>
      </x:c>
      <x:c r="E198" s="2" t="str">
        <x:v>S38-MU03</x:v>
      </x:c>
      <x:c r="F198" s="2" t="str">
        <x:v>S38-O01</x:v>
      </x:c>
      <x:c r="G198" s="2" t="str">
        <x:v>S38-T01</x:v>
      </x:c>
      <x:c r="H198" s="2" t="str">
        <x:v>Deepseek-chat</x:v>
      </x:c>
      <x:c r="I198" s="2" t="str">
        <x:v>DeepSeek-V3.2-Exp</x:v>
      </x:c>
      <x:c r="J198" s="2" t="str">
        <x:v>DeepSeek</x:v>
      </x:c>
      <x:c r="K198" s="2" t="str">
        <x:v>DeepSeek-V3.2-Exp</x:v>
      </x:c>
      <x:c r="L198" s="2" t="str">
        <x:v>Unclear</x:v>
      </x:c>
      <x:c r="M198" s="2" t="str">
        <x:v>Open weights</x:v>
      </x:c>
      <x:c r="N198" s="6" t="str">
        <x:v>Inferred from identified model family</x:v>
      </x:c>
      <x:c r="O198" s="2" t="str">
        <x:v>Yes</x:v>
      </x:c>
      <x:c r="P198" s="2" t="str"/>
      <x:c r="Q198" s="2" t="str">
        <x:v>API</x:v>
      </x:c>
      <x:c r="R198" s="2" t="str">
        <x:v>DeepSeek API</x:v>
      </x:c>
      <x:c r="S198" s="2" t="str">
        <x:v>V3.2-Exp</x:v>
      </x:c>
      <x:c r="T198" s="2" t="str">
        <x:v>NR</x:v>
      </x:c>
      <x:c r="U198" s="2" t="str">
        <x:v>2025-10-17 (repository snapshot)</x:v>
      </x:c>
      <x:c r="V198" s="2" t="str">
        <x:v>NR</x:v>
      </x:c>
      <x:c r="W198" s="2" t="str">
        <x:v>NR</x:v>
      </x:c>
      <x:c r="X198" s="2" t="str">
        <x:v>NR</x:v>
      </x:c>
      <x:c r="Y198" s="2" t="str">
        <x:v>NR</x:v>
      </x:c>
      <x:c r="Z198" s="2" t="str">
        <x:v>NR</x:v>
      </x:c>
      <x:c r="AA198" s="2" t="str">
        <x:v>No</x:v>
      </x:c>
      <x:c r="AB198" s="2" t="str">
        <x:v>No</x:v>
      </x:c>
      <x:c r="AC198" s="6" t="str">
        <x:v>p. 15; Table 3; author repository dev/gen/*.py</x:v>
      </x:c>
      <x:c r="AD198" s="6" t="str">
        <x:v>3. Deepseek-chat 4. Gemini2.5-flash</x:v>
      </x:c>
    </x:row>
    <x:row r="199" ht="76" customHeight="1">
      <x:c r="A199" s="2" t="str">
        <x:v>S27</x:v>
      </x:c>
      <x:c r="B199" s="2" t="str">
        <x:v>2025</x:v>
      </x:c>
      <x:c r="C199" s="2" t="str">
        <x:v>Published</x:v>
      </x:c>
      <x:c r="D199" s="6" t="str">
        <x:v>Beyond Retrieval: A Study of Using LLM Ensembles for Candidate Filtering in Requirements Traceability</x:v>
      </x:c>
      <x:c r="E199" s="2" t="str">
        <x:v>S27-MU01</x:v>
      </x:c>
      <x:c r="F199" s="2" t="str">
        <x:v>S27-O01</x:v>
      </x:c>
      <x:c r="G199" s="2" t="str">
        <x:v>S27-T01</x:v>
      </x:c>
      <x:c r="H199" s="2" t="str">
        <x:v>Gemma-2:2b</x:v>
      </x:c>
      <x:c r="I199" s="2" t="str">
        <x:v>Gemma 2 2B</x:v>
      </x:c>
      <x:c r="J199" s="2" t="str">
        <x:v>Gemma</x:v>
      </x:c>
      <x:c r="K199" s="2" t="str">
        <x:v>Gemma 2 2B</x:v>
      </x:c>
      <x:c r="L199" s="2" t="str">
        <x:v>Open weights</x:v>
      </x:c>
      <x:c r="M199" s="2" t="str">
        <x:v>Open weights</x:v>
      </x:c>
      <x:c r="N199" s="6" t="str">
        <x:v>Reported in extraction</x:v>
      </x:c>
      <x:c r="O199" s="2" t="str">
        <x:v>Yes</x:v>
      </x:c>
      <x:c r="P199" s="2" t="str"/>
      <x:c r="Q199" s="2" t="str">
        <x:v>Local</x:v>
      </x:c>
      <x:c r="R199" s="2" t="str">
        <x:v>Local (Tesla V100S GPU)</x:v>
      </x:c>
      <x:c r="S199" s="2" t="str">
        <x:v>2</x:v>
      </x:c>
      <x:c r="T199" s="2" t="str">
        <x:v>2B</x:v>
      </x:c>
      <x:c r="U199" s="2" t="str">
        <x:v>NR</x:v>
      </x:c>
      <x:c r="V199" s="2" t="n">
        <x:v>0</x:v>
      </x:c>
      <x:c r="W199" s="2" t="n">
        <x:v>133742243</x:v>
      </x:c>
      <x:c r="X199" s="2" t="str">
        <x:v>NR</x:v>
      </x:c>
      <x:c r="Y199" s="2" t="str">
        <x:v>NR</x:v>
      </x:c>
      <x:c r="Z199" s="2" t="str">
        <x:v>NR</x:v>
      </x:c>
      <x:c r="AA199" s="2" t="str">
        <x:v>No</x:v>
      </x:c>
      <x:c r="AB199" s="2" t="str">
        <x:v>No</x:v>
      </x:c>
      <x:c r="AC199" s="6" t="str">
        <x:v>p. 7; Section IV-B and Section IV-E</x:v>
      </x:c>
      <x:c r="AD199" s="6" t="str">
        <x:v>we fixed the random seed and set the model temperature to 0. Our results are therefore dependent on the specific seed 133742243</x:v>
      </x:c>
    </x:row>
    <x:row r="200" ht="76" customHeight="1">
      <x:c r="A200" s="2" t="str">
        <x:v>S27</x:v>
      </x:c>
      <x:c r="B200" s="2" t="str">
        <x:v>2025</x:v>
      </x:c>
      <x:c r="C200" s="2" t="str">
        <x:v>Published</x:v>
      </x:c>
      <x:c r="D200" s="6" t="str">
        <x:v>Beyond Retrieval: A Study of Using LLM Ensembles for Candidate Filtering in Requirements Traceability</x:v>
      </x:c>
      <x:c r="E200" s="2" t="str">
        <x:v>S27-MU02</x:v>
      </x:c>
      <x:c r="F200" s="2" t="str">
        <x:v>S27-O01</x:v>
      </x:c>
      <x:c r="G200" s="2" t="str">
        <x:v>S27-T01</x:v>
      </x:c>
      <x:c r="H200" s="2" t="str">
        <x:v>Gemma-2:9b</x:v>
      </x:c>
      <x:c r="I200" s="2" t="str">
        <x:v>Gemma 2 9B</x:v>
      </x:c>
      <x:c r="J200" s="2" t="str">
        <x:v>Gemma</x:v>
      </x:c>
      <x:c r="K200" s="2" t="str">
        <x:v>Gemma 2 9B</x:v>
      </x:c>
      <x:c r="L200" s="2" t="str">
        <x:v>Open weights</x:v>
      </x:c>
      <x:c r="M200" s="2" t="str">
        <x:v>Open weights</x:v>
      </x:c>
      <x:c r="N200" s="6" t="str">
        <x:v>Reported in extraction</x:v>
      </x:c>
      <x:c r="O200" s="2" t="str">
        <x:v>Yes</x:v>
      </x:c>
      <x:c r="P200" s="2" t="str"/>
      <x:c r="Q200" s="2" t="str">
        <x:v>Local</x:v>
      </x:c>
      <x:c r="R200" s="2" t="str">
        <x:v>Local (Tesla V100S GPU)</x:v>
      </x:c>
      <x:c r="S200" s="2" t="str">
        <x:v>2</x:v>
      </x:c>
      <x:c r="T200" s="2" t="str">
        <x:v>9B</x:v>
      </x:c>
      <x:c r="U200" s="2" t="str">
        <x:v>NR</x:v>
      </x:c>
      <x:c r="V200" s="2" t="n">
        <x:v>0</x:v>
      </x:c>
      <x:c r="W200" s="2" t="n">
        <x:v>133742243</x:v>
      </x:c>
      <x:c r="X200" s="2" t="str">
        <x:v>NR</x:v>
      </x:c>
      <x:c r="Y200" s="2" t="str">
        <x:v>NR</x:v>
      </x:c>
      <x:c r="Z200" s="2" t="str">
        <x:v>NR</x:v>
      </x:c>
      <x:c r="AA200" s="2" t="str">
        <x:v>No</x:v>
      </x:c>
      <x:c r="AB200" s="2" t="str">
        <x:v>No</x:v>
      </x:c>
      <x:c r="AC200" s="6" t="str">
        <x:v>p. 7; Section IV-B and Section IV-E</x:v>
      </x:c>
      <x:c r="AD200" s="6" t="str">
        <x:v>we fixed the random seed and set the model temperature to 0. Our results are therefore dependent on the specific seed 133742243</x:v>
      </x:c>
    </x:row>
    <x:row r="201" ht="76" customHeight="1">
      <x:c r="A201" s="2" t="str">
        <x:v>S10</x:v>
      </x:c>
      <x:c r="B201" s="2" t="str">
        <x:v>2026</x:v>
      </x:c>
      <x:c r="C201" s="2" t="str">
        <x:v>Grey literature</x:v>
      </x:c>
      <x:c r="D201" s="6" t="str">
        <x:v>Think Harder and Don't Overlook Your Options: Revisiting Issue-Commit Linking with LLM-Assisted Retrieval</x:v>
      </x:c>
      <x:c r="E201" s="2" t="str">
        <x:v>S10-MU03</x:v>
      </x:c>
      <x:c r="F201" s="2" t="str">
        <x:v>S10-O01</x:v>
      </x:c>
      <x:c r="G201" s="2" t="str">
        <x:v>S10-T01</x:v>
      </x:c>
      <x:c r="H201" s="2" t="str">
        <x:v>Gemma-7B</x:v>
      </x:c>
      <x:c r="I201" s="2" t="str">
        <x:v>Gemma-7B</x:v>
      </x:c>
      <x:c r="J201" s="2" t="str">
        <x:v>Gemma</x:v>
      </x:c>
      <x:c r="K201" s="2" t="str">
        <x:v>Gemma 7B</x:v>
      </x:c>
      <x:c r="L201" s="2" t="str">
        <x:v>Open weights</x:v>
      </x:c>
      <x:c r="M201" s="2" t="str">
        <x:v>Open weights</x:v>
      </x:c>
      <x:c r="N201" s="6" t="str">
        <x:v>Reported in extraction</x:v>
      </x:c>
      <x:c r="O201" s="2" t="str">
        <x:v>Yes</x:v>
      </x:c>
      <x:c r="P201" s="2" t="str"/>
      <x:c r="Q201" s="2" t="str">
        <x:v>Local</x:v>
      </x:c>
      <x:c r="R201" s="2" t="str">
        <x:v>locally run</x:v>
      </x:c>
      <x:c r="S201" s="2" t="str">
        <x:v>7B</x:v>
      </x:c>
      <x:c r="T201" s="2" t="str">
        <x:v>7B</x:v>
      </x:c>
      <x:c r="U201" s="2" t="str">
        <x:v>2026-04-30</x:v>
      </x:c>
      <x:c r="V201" s="2" t="str">
        <x:v>NR</x:v>
      </x:c>
      <x:c r="W201" s="2" t="str">
        <x:v>NR</x:v>
      </x:c>
      <x:c r="X201" s="2" t="str">
        <x:v>NR</x:v>
      </x:c>
      <x:c r="Y201" s="2" t="str">
        <x:v>NR</x:v>
      </x:c>
      <x:c r="Z201" s="2" t="str">
        <x:v>NR</x:v>
      </x:c>
      <x:c r="AA201" s="2" t="str">
        <x:v>No</x:v>
      </x:c>
      <x:c r="AB201" s="2" t="str">
        <x:v>No</x:v>
      </x:c>
      <x:c r="AC201" s="6" t="str">
        <x:v>p. 4; Section 5.3</x:v>
      </x:c>
      <x:c r="AD201" s="6" t="str">
        <x:v>Gemma-7B</x:v>
      </x:c>
    </x:row>
    <x:row r="202" ht="76" customHeight="1">
      <x:c r="A202" s="2" t="str">
        <x:v>S02</x:v>
      </x:c>
      <x:c r="B202" s="2" t="str">
        <x:v>2026</x:v>
      </x:c>
      <x:c r="C202" s="2" t="str">
        <x:v>Published</x:v>
      </x:c>
      <x:c r="D202" s="6" t="str">
        <x:v>Who's Who? LLM-assisted Software Traceability with Architecture Entity Recognition</x:v>
      </x:c>
      <x:c r="E202" s="2" t="str">
        <x:v>S02-MU06</x:v>
      </x:c>
      <x:c r="F202" s="2" t="str">
        <x:v>S02-O01</x:v>
      </x:c>
      <x:c r="G202" s="2" t="str">
        <x:v>S02-T01</x:v>
      </x:c>
      <x:c r="H202" s="2" t="str">
        <x:v>Codellama 13b</x:v>
      </x:c>
      <x:c r="I202" s="2" t="str">
        <x:v>Codellama 13b</x:v>
      </x:c>
      <x:c r="J202" s="2" t="str">
        <x:v>Llama</x:v>
      </x:c>
      <x:c r="K202" s="2" t="str">
        <x:v>CodeLlama 13B</x:v>
      </x:c>
      <x:c r="L202" s="2" t="str">
        <x:v>Open weights</x:v>
      </x:c>
      <x:c r="M202" s="2" t="str">
        <x:v>Open weights</x:v>
      </x:c>
      <x:c r="N202" s="6" t="str">
        <x:v>Reported in extraction</x:v>
      </x:c>
      <x:c r="O202" s="2" t="str">
        <x:v>Yes</x:v>
      </x:c>
      <x:c r="P202" s="2" t="str"/>
      <x:c r="Q202" s="2" t="str">
        <x:v>Local</x:v>
      </x:c>
      <x:c r="R202" s="2" t="str">
        <x:v>NR</x:v>
      </x:c>
      <x:c r="S202" s="2" t="str">
        <x:v>NR</x:v>
      </x:c>
      <x:c r="T202" s="2" t="str">
        <x:v>13b</x:v>
      </x:c>
      <x:c r="U202" s="2" t="str">
        <x:v>NR</x:v>
      </x:c>
      <x:c r="V202" s="2" t="n">
        <x:v>0</x:v>
      </x:c>
      <x:c r="W202" s="2" t="str">
        <x:v>NR</x:v>
      </x:c>
      <x:c r="X202" s="2" t="n">
        <x:v>1</x:v>
      </x:c>
      <x:c r="Y202" s="2" t="str">
        <x:v>NR</x:v>
      </x:c>
      <x:c r="Z202" s="2" t="str">
        <x:v>NR</x:v>
      </x:c>
      <x:c r="AA202" s="2" t="str">
        <x:v>No</x:v>
      </x:c>
      <x:c r="AB202" s="2" t="str">
        <x:v>No</x:v>
      </x:c>
      <x:c r="AC202" s="6" t="str">
        <x:v>p. 10; Section 5.1; Section 5.5</x:v>
      </x:c>
      <x:c r="AD202" s="6" t="str">
        <x:v>mini, GPT-4o, GPT-4 Turbo, GPT-4, and GPT-3.5 Turbo. As local models, we use Codellama 13b, Meta AI Llama 3.1 8b, and Meta AI Llama 3.1 70b.</x:v>
      </x:c>
    </x:row>
    <x:row r="203" ht="76" customHeight="1">
      <x:c r="A203" s="2" t="str">
        <x:v>S42</x:v>
      </x:c>
      <x:c r="B203" s="2" t="str">
        <x:v>2025</x:v>
      </x:c>
      <x:c r="C203" s="2" t="str">
        <x:v>Published</x:v>
      </x:c>
      <x:c r="D203" s="6" t="str">
        <x:v>Requirements Traceability Link Recovery via Retrieval-Augmented Generation</x:v>
      </x:c>
      <x:c r="E203" s="2" t="str">
        <x:v>S42-MU03</x:v>
      </x:c>
      <x:c r="F203" s="2" t="str">
        <x:v>S42-O01</x:v>
      </x:c>
      <x:c r="G203" s="2" t="str">
        <x:v>S42-T01</x:v>
      </x:c>
      <x:c r="H203" s="2" t="str">
        <x:v>Codellama 13b</x:v>
      </x:c>
      <x:c r="I203" s="2" t="str">
        <x:v>codellama-13b</x:v>
      </x:c>
      <x:c r="J203" s="2" t="str">
        <x:v>Llama</x:v>
      </x:c>
      <x:c r="K203" s="2" t="str">
        <x:v>CodeLlama 13B</x:v>
      </x:c>
      <x:c r="L203" s="2" t="str">
        <x:v>Open weights</x:v>
      </x:c>
      <x:c r="M203" s="2" t="str">
        <x:v>Open weights</x:v>
      </x:c>
      <x:c r="N203" s="6" t="str">
        <x:v>Reported in extraction</x:v>
      </x:c>
      <x:c r="O203" s="2" t="str">
        <x:v>Yes</x:v>
      </x:c>
      <x:c r="P203" s="2" t="str"/>
      <x:c r="Q203" s="2" t="str">
        <x:v>Local</x:v>
      </x:c>
      <x:c r="R203" s="2" t="str">
        <x:v>Local GPU (Tesla V100S)</x:v>
      </x:c>
      <x:c r="S203" s="2" t="str">
        <x:v>NR</x:v>
      </x:c>
      <x:c r="T203" s="2" t="str">
        <x:v>13b</x:v>
      </x:c>
      <x:c r="U203" s="2" t="str">
        <x:v>NR</x:v>
      </x:c>
      <x:c r="V203" s="2" t="n">
        <x:v>0</x:v>
      </x:c>
      <x:c r="W203" s="2" t="str">
        <x:v>133742243</x:v>
      </x:c>
      <x:c r="X203" s="2" t="str">
        <x:v>Unclear</x:v>
      </x:c>
      <x:c r="Y203" s="2" t="str">
        <x:v>NR</x:v>
      </x:c>
      <x:c r="Z203" s="2" t="str">
        <x:v>NR</x:v>
      </x:c>
      <x:c r="AA203" s="2" t="str">
        <x:v>No</x:v>
      </x:c>
      <x:c r="AB203" s="2" t="str">
        <x:v>No</x:v>
      </x:c>
      <x:c r="AC203" s="6" t="str">
        <x:v>p. 5; Section 4.1</x:v>
      </x:c>
      <x:c r="AD203" s="6" t="str">
        <x:v>our experiments, we set the temperature of the LLMs to zero and set a fixed</x:v>
      </x:c>
    </x:row>
    <x:row r="204" ht="76" customHeight="1">
      <x:c r="A204" s="2" t="str">
        <x:v>S42</x:v>
      </x:c>
      <x:c r="B204" s="2" t="str">
        <x:v>2025</x:v>
      </x:c>
      <x:c r="C204" s="2" t="str">
        <x:v>Published</x:v>
      </x:c>
      <x:c r="D204" s="6" t="str">
        <x:v>Requirements Traceability Link Recovery via Retrieval-Augmented Generation</x:v>
      </x:c>
      <x:c r="E204" s="2" t="str">
        <x:v>S42-MU07</x:v>
      </x:c>
      <x:c r="F204" s="2" t="str">
        <x:v>S42-O01</x:v>
      </x:c>
      <x:c r="G204" s="2" t="str">
        <x:v>S42-T01</x:v>
      </x:c>
      <x:c r="H204" s="2" t="str">
        <x:v>Codellama 13b</x:v>
      </x:c>
      <x:c r="I204" s="2" t="str">
        <x:v>codellama-13b</x:v>
      </x:c>
      <x:c r="J204" s="2" t="str">
        <x:v>Llama</x:v>
      </x:c>
      <x:c r="K204" s="2" t="str">
        <x:v>CodeLlama 13B</x:v>
      </x:c>
      <x:c r="L204" s="2" t="str">
        <x:v>Open weights</x:v>
      </x:c>
      <x:c r="M204" s="2" t="str">
        <x:v>Open weights</x:v>
      </x:c>
      <x:c r="N204" s="6" t="str">
        <x:v>Reported in extraction</x:v>
      </x:c>
      <x:c r="O204" s="2" t="str">
        <x:v>Yes</x:v>
      </x:c>
      <x:c r="P204" s="2" t="str"/>
      <x:c r="Q204" s="2" t="str">
        <x:v>Local</x:v>
      </x:c>
      <x:c r="R204" s="2" t="str">
        <x:v>Local GPU (Tesla V100S)</x:v>
      </x:c>
      <x:c r="S204" s="2" t="str">
        <x:v>NR</x:v>
      </x:c>
      <x:c r="T204" s="2" t="str">
        <x:v>13b</x:v>
      </x:c>
      <x:c r="U204" s="2" t="str">
        <x:v>NR</x:v>
      </x:c>
      <x:c r="V204" s="2" t="n">
        <x:v>0</x:v>
      </x:c>
      <x:c r="W204" s="2" t="str">
        <x:v>133742243</x:v>
      </x:c>
      <x:c r="X204" s="2" t="str">
        <x:v>Unclear</x:v>
      </x:c>
      <x:c r="Y204" s="2" t="str">
        <x:v>NR</x:v>
      </x:c>
      <x:c r="Z204" s="2" t="str">
        <x:v>NR</x:v>
      </x:c>
      <x:c r="AA204" s="2" t="str">
        <x:v>No</x:v>
      </x:c>
      <x:c r="AB204" s="2" t="str">
        <x:v>No</x:v>
      </x:c>
      <x:c r="AC204" s="6" t="str">
        <x:v>p. 5; Section 4.1</x:v>
      </x:c>
      <x:c r="AD204" s="6" t="str">
        <x:v>our experiments, we set the temperature of the LLMs to zero and set a fixed</x:v>
      </x:c>
    </x:row>
    <x:row r="205" ht="76" customHeight="1">
      <x:c r="A205" s="2" t="str">
        <x:v>S23</x:v>
      </x:c>
      <x:c r="B205" s="2" t="str">
        <x:v>2024</x:v>
      </x:c>
      <x:c r="C205" s="2" t="str">
        <x:v>Published</x:v>
      </x:c>
      <x:c r="D205" s="6" t="str">
        <x:v>Code Gradients: Towards Automated Traceability of LLM-Generated Code</x:v>
      </x:c>
      <x:c r="E205" s="2" t="str">
        <x:v>S23-MU07</x:v>
      </x:c>
      <x:c r="F205" s="2" t="str">
        <x:v>S23-O01</x:v>
      </x:c>
      <x:c r="G205" s="2" t="str">
        <x:v>S23-T01</x:v>
      </x:c>
      <x:c r="H205" s="2" t="str">
        <x:v>CodeLlama 13b Instruct hf</x:v>
      </x:c>
      <x:c r="I205" s="2" t="str">
        <x:v>CodeLlama Instruct 13B</x:v>
      </x:c>
      <x:c r="J205" s="2" t="str">
        <x:v>Llama</x:v>
      </x:c>
      <x:c r="K205" s="2" t="str">
        <x:v>CodeLlama 13B Instruct</x:v>
      </x:c>
      <x:c r="L205" s="2" t="str">
        <x:v>Unclear</x:v>
      </x:c>
      <x:c r="M205" s="2" t="str">
        <x:v>Open weights</x:v>
      </x:c>
      <x:c r="N205" s="6" t="str">
        <x:v>Inferred from identified model family</x:v>
      </x:c>
      <x:c r="O205" s="2" t="str">
        <x:v>Yes</x:v>
      </x:c>
      <x:c r="P205" s="2" t="str"/>
      <x:c r="Q205" s="2" t="str">
        <x:v>Local</x:v>
      </x:c>
      <x:c r="R205" s="2" t="str">
        <x:v>NR</x:v>
      </x:c>
      <x:c r="S205" s="2" t="str">
        <x:v>NR</x:v>
      </x:c>
      <x:c r="T205" s="2" t="str">
        <x:v>13B</x:v>
      </x:c>
      <x:c r="U205" s="2" t="str">
        <x:v>NR</x:v>
      </x:c>
      <x:c r="V205" s="2" t="str">
        <x:v>NR</x:v>
      </x:c>
      <x:c r="W205" s="2" t="str">
        <x:v>NR</x:v>
      </x:c>
      <x:c r="X205" s="2" t="str">
        <x:v>NR</x:v>
      </x:c>
      <x:c r="Y205" s="2" t="str">
        <x:v>NR</x:v>
      </x:c>
      <x:c r="Z205" s="2" t="str">
        <x:v>NR</x:v>
      </x:c>
      <x:c r="AA205" s="2" t="str">
        <x:v>No</x:v>
      </x:c>
      <x:c r="AB205" s="2" t="str">
        <x:v>No</x:v>
      </x:c>
      <x:c r="AC205" s="6" t="str">
        <x:v>p. 5; Section III-E</x:v>
      </x:c>
      <x:c r="AD205" s="6" t="str">
        <x:v>We use the 7-billion and 13-billion parameter versions.</x:v>
      </x:c>
    </x:row>
    <x:row r="206" ht="76" customHeight="1">
      <x:c r="A206" s="2" t="str">
        <x:v>S23</x:v>
      </x:c>
      <x:c r="B206" s="2" t="str">
        <x:v>2024</x:v>
      </x:c>
      <x:c r="C206" s="2" t="str">
        <x:v>Published</x:v>
      </x:c>
      <x:c r="D206" s="6" t="str">
        <x:v>Code Gradients: Towards Automated Traceability of LLM-Generated Code</x:v>
      </x:c>
      <x:c r="E206" s="2" t="str">
        <x:v>S23-MU08</x:v>
      </x:c>
      <x:c r="F206" s="2" t="str">
        <x:v>S23-O02</x:v>
      </x:c>
      <x:c r="G206" s="2" t="str">
        <x:v>S23-T02</x:v>
      </x:c>
      <x:c r="H206" s="2" t="str">
        <x:v>CodeLlama 13b Instruct hf</x:v>
      </x:c>
      <x:c r="I206" s="2" t="str">
        <x:v>CodeLlama Instruct 13B</x:v>
      </x:c>
      <x:c r="J206" s="2" t="str">
        <x:v>Llama</x:v>
      </x:c>
      <x:c r="K206" s="2" t="str">
        <x:v>CodeLlama 13B Instruct</x:v>
      </x:c>
      <x:c r="L206" s="2" t="str">
        <x:v>Unclear</x:v>
      </x:c>
      <x:c r="M206" s="2" t="str">
        <x:v>Open weights</x:v>
      </x:c>
      <x:c r="N206" s="6" t="str">
        <x:v>Inferred from identified model family</x:v>
      </x:c>
      <x:c r="O206" s="2" t="str">
        <x:v>Yes</x:v>
      </x:c>
      <x:c r="P206" s="2" t="str"/>
      <x:c r="Q206" s="2" t="str">
        <x:v>Local</x:v>
      </x:c>
      <x:c r="R206" s="2" t="str">
        <x:v>NR</x:v>
      </x:c>
      <x:c r="S206" s="2" t="str">
        <x:v>NR</x:v>
      </x:c>
      <x:c r="T206" s="2" t="str">
        <x:v>13B</x:v>
      </x:c>
      <x:c r="U206" s="2" t="str">
        <x:v>NR</x:v>
      </x:c>
      <x:c r="V206" s="2" t="str">
        <x:v>NR</x:v>
      </x:c>
      <x:c r="W206" s="2" t="str">
        <x:v>NR</x:v>
      </x:c>
      <x:c r="X206" s="2" t="str">
        <x:v>NR</x:v>
      </x:c>
      <x:c r="Y206" s="2" t="str">
        <x:v>NR</x:v>
      </x:c>
      <x:c r="Z206" s="2" t="str">
        <x:v>NR</x:v>
      </x:c>
      <x:c r="AA206" s="2" t="str">
        <x:v>No</x:v>
      </x:c>
      <x:c r="AB206" s="2" t="str">
        <x:v>No</x:v>
      </x:c>
      <x:c r="AC206" s="6" t="str">
        <x:v>p. 5; Section III-E</x:v>
      </x:c>
      <x:c r="AD206" s="6" t="str">
        <x:v>We use the 7-billion and 13-billion parameter versions.</x:v>
      </x:c>
    </x:row>
    <x:row r="207" ht="76" customHeight="1">
      <x:c r="A207" s="2" t="str">
        <x:v>S23</x:v>
      </x:c>
      <x:c r="B207" s="2" t="str">
        <x:v>2024</x:v>
      </x:c>
      <x:c r="C207" s="2" t="str">
        <x:v>Published</x:v>
      </x:c>
      <x:c r="D207" s="6" t="str">
        <x:v>Code Gradients: Towards Automated Traceability of LLM-Generated Code</x:v>
      </x:c>
      <x:c r="E207" s="2" t="str">
        <x:v>S23-MU05</x:v>
      </x:c>
      <x:c r="F207" s="2" t="str">
        <x:v>S23-O01</x:v>
      </x:c>
      <x:c r="G207" s="2" t="str">
        <x:v>S23-T01</x:v>
      </x:c>
      <x:c r="H207" s="2" t="str">
        <x:v>CodeLlama 7b Instruct hf</x:v>
      </x:c>
      <x:c r="I207" s="2" t="str">
        <x:v>CodeLlama Instruct 7B</x:v>
      </x:c>
      <x:c r="J207" s="2" t="str">
        <x:v>Llama</x:v>
      </x:c>
      <x:c r="K207" s="2" t="str">
        <x:v>CodeLlama 7B Instruct</x:v>
      </x:c>
      <x:c r="L207" s="2" t="str">
        <x:v>Unclear</x:v>
      </x:c>
      <x:c r="M207" s="2" t="str">
        <x:v>Open weights</x:v>
      </x:c>
      <x:c r="N207" s="6" t="str">
        <x:v>Inferred from identified model family</x:v>
      </x:c>
      <x:c r="O207" s="2" t="str">
        <x:v>Yes</x:v>
      </x:c>
      <x:c r="P207" s="2" t="str"/>
      <x:c r="Q207" s="2" t="str">
        <x:v>Local</x:v>
      </x:c>
      <x:c r="R207" s="2" t="str">
        <x:v>NR</x:v>
      </x:c>
      <x:c r="S207" s="2" t="str">
        <x:v>NR</x:v>
      </x:c>
      <x:c r="T207" s="2" t="str">
        <x:v>7B</x:v>
      </x:c>
      <x:c r="U207" s="2" t="str">
        <x:v>NR</x:v>
      </x:c>
      <x:c r="V207" s="2" t="str">
        <x:v>NR</x:v>
      </x:c>
      <x:c r="W207" s="2" t="str">
        <x:v>NR</x:v>
      </x:c>
      <x:c r="X207" s="2" t="str">
        <x:v>NR</x:v>
      </x:c>
      <x:c r="Y207" s="2" t="str">
        <x:v>NR</x:v>
      </x:c>
      <x:c r="Z207" s="2" t="str">
        <x:v>NR</x:v>
      </x:c>
      <x:c r="AA207" s="2" t="str">
        <x:v>No</x:v>
      </x:c>
      <x:c r="AB207" s="2" t="str">
        <x:v>No</x:v>
      </x:c>
      <x:c r="AC207" s="6" t="str">
        <x:v>p. 5; Section III-E</x:v>
      </x:c>
      <x:c r="AD207" s="6" t="str">
        <x:v>We use the 7-billion and 13-billion parameter versions.</x:v>
      </x:c>
    </x:row>
    <x:row r="208" ht="76" customHeight="1">
      <x:c r="A208" s="2" t="str">
        <x:v>S23</x:v>
      </x:c>
      <x:c r="B208" s="2" t="str">
        <x:v>2024</x:v>
      </x:c>
      <x:c r="C208" s="2" t="str">
        <x:v>Published</x:v>
      </x:c>
      <x:c r="D208" s="6" t="str">
        <x:v>Code Gradients: Towards Automated Traceability of LLM-Generated Code</x:v>
      </x:c>
      <x:c r="E208" s="2" t="str">
        <x:v>S23-MU06</x:v>
      </x:c>
      <x:c r="F208" s="2" t="str">
        <x:v>S23-O02</x:v>
      </x:c>
      <x:c r="G208" s="2" t="str">
        <x:v>S23-T02</x:v>
      </x:c>
      <x:c r="H208" s="2" t="str">
        <x:v>CodeLlama 7b Instruct hf</x:v>
      </x:c>
      <x:c r="I208" s="2" t="str">
        <x:v>CodeLlama Instruct 7B</x:v>
      </x:c>
      <x:c r="J208" s="2" t="str">
        <x:v>Llama</x:v>
      </x:c>
      <x:c r="K208" s="2" t="str">
        <x:v>CodeLlama 7B Instruct</x:v>
      </x:c>
      <x:c r="L208" s="2" t="str">
        <x:v>Unclear</x:v>
      </x:c>
      <x:c r="M208" s="2" t="str">
        <x:v>Open weights</x:v>
      </x:c>
      <x:c r="N208" s="6" t="str">
        <x:v>Inferred from identified model family</x:v>
      </x:c>
      <x:c r="O208" s="2" t="str">
        <x:v>Yes</x:v>
      </x:c>
      <x:c r="P208" s="2" t="str"/>
      <x:c r="Q208" s="2" t="str">
        <x:v>Local</x:v>
      </x:c>
      <x:c r="R208" s="2" t="str">
        <x:v>NR</x:v>
      </x:c>
      <x:c r="S208" s="2" t="str">
        <x:v>NR</x:v>
      </x:c>
      <x:c r="T208" s="2" t="str">
        <x:v>7B</x:v>
      </x:c>
      <x:c r="U208" s="2" t="str">
        <x:v>NR</x:v>
      </x:c>
      <x:c r="V208" s="2" t="str">
        <x:v>NR</x:v>
      </x:c>
      <x:c r="W208" s="2" t="str">
        <x:v>NR</x:v>
      </x:c>
      <x:c r="X208" s="2" t="str">
        <x:v>NR</x:v>
      </x:c>
      <x:c r="Y208" s="2" t="str">
        <x:v>NR</x:v>
      </x:c>
      <x:c r="Z208" s="2" t="str">
        <x:v>NR</x:v>
      </x:c>
      <x:c r="AA208" s="2" t="str">
        <x:v>No</x:v>
      </x:c>
      <x:c r="AB208" s="2" t="str">
        <x:v>No</x:v>
      </x:c>
      <x:c r="AC208" s="6" t="str">
        <x:v>p. 5; Section III-E</x:v>
      </x:c>
      <x:c r="AD208" s="6" t="str">
        <x:v>We use the 7-billion and 13-billion parameter versions.</x:v>
      </x:c>
    </x:row>
    <x:row r="209" ht="76" customHeight="1">
      <x:c r="A209" s="2" t="str">
        <x:v>S33</x:v>
      </x:c>
      <x:c r="B209" s="2" t="str">
        <x:v>2025</x:v>
      </x:c>
      <x:c r="C209" s="2" t="str">
        <x:v>Published</x:v>
      </x:c>
      <x:c r="D209" s="6" t="str">
        <x:v>Can we use LLMs to recover Trace Links between Source Code and Security Requirements?</x:v>
      </x:c>
      <x:c r="E209" s="2" t="str">
        <x:v>S33-MU03</x:v>
      </x:c>
      <x:c r="F209" s="2" t="str">
        <x:v>S33-O02</x:v>
      </x:c>
      <x:c r="G209" s="2" t="str">
        <x:v>S33-T01</x:v>
      </x:c>
      <x:c r="H209" s="2" t="str">
        <x:v>CodeLlama 7B-Instruct</x:v>
      </x:c>
      <x:c r="I209" s="2" t="str">
        <x:v>CodeLlama-7B-Instruct</x:v>
      </x:c>
      <x:c r="J209" s="2" t="str">
        <x:v>Llama</x:v>
      </x:c>
      <x:c r="K209" s="2" t="str">
        <x:v>CodeLlama 7B Instruct</x:v>
      </x:c>
      <x:c r="L209" s="2" t="str">
        <x:v>Open weights</x:v>
      </x:c>
      <x:c r="M209" s="2" t="str">
        <x:v>Open weights</x:v>
      </x:c>
      <x:c r="N209" s="6" t="str">
        <x:v>Reported in extraction</x:v>
      </x:c>
      <x:c r="O209" s="2" t="str">
        <x:v>Yes</x:v>
      </x:c>
      <x:c r="P209" s="2" t="str"/>
      <x:c r="Q209" s="2" t="str">
        <x:v>Local</x:v>
      </x:c>
      <x:c r="R209" s="2" t="str">
        <x:v>Local cluster using Hugging Face library</x:v>
      </x:c>
      <x:c r="S209" s="2" t="str">
        <x:v>NR</x:v>
      </x:c>
      <x:c r="T209" s="2" t="str">
        <x:v>7B</x:v>
      </x:c>
      <x:c r="U209" s="2" t="str">
        <x:v>NR</x:v>
      </x:c>
      <x:c r="V209" s="2" t="str">
        <x:v>Unclear</x:v>
      </x:c>
      <x:c r="W209" s="2" t="str">
        <x:v>NR</x:v>
      </x:c>
      <x:c r="X209" s="2" t="str">
        <x:v>NR</x:v>
      </x:c>
      <x:c r="Y209" s="2" t="str">
        <x:v>NR</x:v>
      </x:c>
      <x:c r="Z209" s="2" t="str">
        <x:v>NR</x:v>
      </x:c>
      <x:c r="AA209" s="2" t="str">
        <x:v>No</x:v>
      </x:c>
      <x:c r="AB209" s="2" t="str">
        <x:v>No</x:v>
      </x:c>
      <x:c r="AC209" s="6" t="str">
        <x:v>p. 5; Section IV.C</x:v>
      </x:c>
      <x:c r="AD209" s="6" t="str">
        <x:v>were given to the LLMs. A general-purpose LLM (Llama 3.1-8B-Instruct) and a code-specific LLM (CodeLlama 7BInstruct) were rated quite good at understanding code [50].</x:v>
      </x:c>
    </x:row>
    <x:row r="210" ht="76" customHeight="1">
      <x:c r="A210" s="2" t="str">
        <x:v>S31</x:v>
      </x:c>
      <x:c r="B210" s="2" t="str">
        <x:v>2025</x:v>
      </x:c>
      <x:c r="C210" s="2" t="str">
        <x:v>Published</x:v>
      </x:c>
      <x:c r="D210" s="6" t="str">
        <x:v>Generating Context-Aware Learning Materials for Software Security via LLM Agents and Traceability</x:v>
      </x:c>
      <x:c r="E210" s="2" t="str">
        <x:v>S31-MU01</x:v>
      </x:c>
      <x:c r="F210" s="2" t="str">
        <x:v>S31-O01</x:v>
      </x:c>
      <x:c r="G210" s="2" t="str">
        <x:v>S31-T01</x:v>
      </x:c>
      <x:c r="H210" s="2" t="str">
        <x:v>LLaMA 2</x:v>
      </x:c>
      <x:c r="I210" s="2" t="str">
        <x:v>Llama 2</x:v>
      </x:c>
      <x:c r="J210" s="2" t="str">
        <x:v>Llama</x:v>
      </x:c>
      <x:c r="K210" s="2" t="str">
        <x:v>Llama 2</x:v>
      </x:c>
      <x:c r="L210" s="2" t="str">
        <x:v>Open weights</x:v>
      </x:c>
      <x:c r="M210" s="2" t="str">
        <x:v>Open weights</x:v>
      </x:c>
      <x:c r="N210" s="6" t="str">
        <x:v>Reported in extraction</x:v>
      </x:c>
      <x:c r="O210" s="2" t="str">
        <x:v>Yes</x:v>
      </x:c>
      <x:c r="P210" s="2" t="str"/>
      <x:c r="Q210" s="2" t="str">
        <x:v>Local</x:v>
      </x:c>
      <x:c r="R210" s="2" t="str">
        <x:v>On-premise</x:v>
      </x:c>
      <x:c r="S210" s="2" t="str">
        <x:v>2</x:v>
      </x:c>
      <x:c r="T210" s="2" t="str">
        <x:v>NR</x:v>
      </x:c>
      <x:c r="U210" s="2" t="str">
        <x:v>NR</x:v>
      </x:c>
      <x:c r="V210" s="2" t="str">
        <x:v>NR</x:v>
      </x:c>
      <x:c r="W210" s="2" t="str">
        <x:v>NR</x:v>
      </x:c>
      <x:c r="X210" s="2" t="str">
        <x:v>NR</x:v>
      </x:c>
      <x:c r="Y210" s="2" t="str">
        <x:v>NR</x:v>
      </x:c>
      <x:c r="Z210" s="2" t="str">
        <x:v>NR</x:v>
      </x:c>
      <x:c r="AA210" s="2" t="str">
        <x:v>No</x:v>
      </x:c>
      <x:c r="AB210" s="2" t="str">
        <x:v>No</x:v>
      </x:c>
      <x:c r="AC210" s="6" t="str">
        <x:v>p. 3; Section III-B, Prototype Design</x:v>
      </x:c>
      <x:c r="AD210" s="6" t="str">
        <x:v>a locally hosted LLaMA2 model</x:v>
      </x:c>
    </x:row>
    <x:row r="211" ht="76" customHeight="1">
      <x:c r="A211" s="2" t="str">
        <x:v>S50</x:v>
      </x:c>
      <x:c r="B211" s="2" t="str">
        <x:v>2025</x:v>
      </x:c>
      <x:c r="C211" s="2" t="str">
        <x:v>Published</x:v>
      </x:c>
      <x:c r="D211" s="6" t="str">
        <x:v>Leveraging LLMs and Knowledge Graphs to Design Secure Automation Systems</x:v>
      </x:c>
      <x:c r="E211" s="2" t="str">
        <x:v>S50-MU01</x:v>
      </x:c>
      <x:c r="F211" s="2" t="str">
        <x:v>S50-O01</x:v>
      </x:c>
      <x:c r="G211" s="2" t="str">
        <x:v>S50-T01</x:v>
      </x:c>
      <x:c r="H211" s="2" t="str">
        <x:v>Llama-2 7B</x:v>
      </x:c>
      <x:c r="I211" s="2" t="str">
        <x:v>Llama-2 7B</x:v>
      </x:c>
      <x:c r="J211" s="2" t="str">
        <x:v>Llama</x:v>
      </x:c>
      <x:c r="K211" s="2" t="str">
        <x:v>Llama 2 7B</x:v>
      </x:c>
      <x:c r="L211" s="2" t="str">
        <x:v>Open weights</x:v>
      </x:c>
      <x:c r="M211" s="2" t="str">
        <x:v>Open weights</x:v>
      </x:c>
      <x:c r="N211" s="6" t="str">
        <x:v>Reported in extraction</x:v>
      </x:c>
      <x:c r="O211" s="2" t="str">
        <x:v>Yes</x:v>
      </x:c>
      <x:c r="P211" s="2" t="str"/>
      <x:c r="Q211" s="2" t="str">
        <x:v>Local</x:v>
      </x:c>
      <x:c r="R211" s="2" t="str">
        <x:v>Local deployment on a machine with 13th Gen Intel Core i7-13700H, 16GB RAM, Windows 11</x:v>
      </x:c>
      <x:c r="S211" s="2" t="str">
        <x:v>2</x:v>
      </x:c>
      <x:c r="T211" s="2" t="str">
        <x:v>7B</x:v>
      </x:c>
      <x:c r="U211" s="2" t="str">
        <x:v>NR</x:v>
      </x:c>
      <x:c r="V211" s="2" t="str">
        <x:v>NR</x:v>
      </x:c>
      <x:c r="W211" s="2" t="str">
        <x:v>NR</x:v>
      </x:c>
      <x:c r="X211" s="2" t="str">
        <x:v>NR</x:v>
      </x:c>
      <x:c r="Y211" s="2" t="str">
        <x:v>4096</x:v>
      </x:c>
      <x:c r="Z211" s="2" t="str">
        <x:v>NR</x:v>
      </x:c>
      <x:c r="AA211" s="2" t="str">
        <x:v>No</x:v>
      </x:c>
      <x:c r="AB211" s="2" t="str">
        <x:v>Yes</x:v>
      </x:c>
      <x:c r="AC211" s="6" t="str">
        <x:v>p. 8; Section IV-D</x:v>
      </x:c>
      <x:c r="AD211" s="6" t="str">
        <x:v>For experiments involving a local deployment of Llama-2 7B, the system used was a machine with a 13th Gen Intel Core i7-13700H processor (2.40 GHz), 16.0 GB of RAM, and a 64-bit Windows 11 operating system.</x:v>
      </x:c>
    </x:row>
    <x:row r="212" ht="76" customHeight="1">
      <x:c r="A212" s="2" t="str">
        <x:v>S50</x:v>
      </x:c>
      <x:c r="B212" s="2" t="str">
        <x:v>2025</x:v>
      </x:c>
      <x:c r="C212" s="2" t="str">
        <x:v>Published</x:v>
      </x:c>
      <x:c r="D212" s="6" t="str">
        <x:v>Leveraging LLMs and Knowledge Graphs to Design Secure Automation Systems</x:v>
      </x:c>
      <x:c r="E212" s="2" t="str">
        <x:v>S50-MU02</x:v>
      </x:c>
      <x:c r="F212" s="2" t="str">
        <x:v>S50-O02</x:v>
      </x:c>
      <x:c r="G212" s="2" t="str">
        <x:v>S50-T01</x:v>
      </x:c>
      <x:c r="H212" s="2" t="str">
        <x:v>Llama-2 7B</x:v>
      </x:c>
      <x:c r="I212" s="2" t="str">
        <x:v>Llama-2 7B</x:v>
      </x:c>
      <x:c r="J212" s="2" t="str">
        <x:v>Llama</x:v>
      </x:c>
      <x:c r="K212" s="2" t="str">
        <x:v>Llama 2 7B</x:v>
      </x:c>
      <x:c r="L212" s="2" t="str">
        <x:v>Open weights</x:v>
      </x:c>
      <x:c r="M212" s="2" t="str">
        <x:v>Open weights</x:v>
      </x:c>
      <x:c r="N212" s="6" t="str">
        <x:v>Reported in extraction</x:v>
      </x:c>
      <x:c r="O212" s="2" t="str">
        <x:v>Yes</x:v>
      </x:c>
      <x:c r="P212" s="2" t="str"/>
      <x:c r="Q212" s="2" t="str">
        <x:v>Local</x:v>
      </x:c>
      <x:c r="R212" s="2" t="str">
        <x:v>Local deployment on a machine with 13th Gen Intel Core i7-13700H, 16GB RAM, Windows 11</x:v>
      </x:c>
      <x:c r="S212" s="2" t="str">
        <x:v>2</x:v>
      </x:c>
      <x:c r="T212" s="2" t="str">
        <x:v>7B</x:v>
      </x:c>
      <x:c r="U212" s="2" t="str">
        <x:v>NR</x:v>
      </x:c>
      <x:c r="V212" s="2" t="str">
        <x:v>NR</x:v>
      </x:c>
      <x:c r="W212" s="2" t="str">
        <x:v>NR</x:v>
      </x:c>
      <x:c r="X212" s="2" t="str">
        <x:v>NR</x:v>
      </x:c>
      <x:c r="Y212" s="2" t="str">
        <x:v>4096</x:v>
      </x:c>
      <x:c r="Z212" s="2" t="str">
        <x:v>NR</x:v>
      </x:c>
      <x:c r="AA212" s="2" t="str">
        <x:v>No</x:v>
      </x:c>
      <x:c r="AB212" s="2" t="str">
        <x:v>Yes</x:v>
      </x:c>
      <x:c r="AC212" s="6" t="str">
        <x:v>p. 9; Algorithm 1</x:v>
      </x:c>
      <x:c r="AD212" s="6" t="str">
        <x:v>Feed final prompt Fm into Llama-2 7B LLM to generate response A</x:v>
      </x:c>
    </x:row>
    <x:row r="213" ht="76" customHeight="1">
      <x:c r="A213" s="2" t="str">
        <x:v>S07</x:v>
      </x:c>
      <x:c r="B213" s="2" t="str">
        <x:v>2026</x:v>
      </x:c>
      <x:c r="C213" s="2" t="str">
        <x:v>Published</x:v>
      </x:c>
      <x:c r="D213" s="6" t="str">
        <x:v>REST-at: An LLM-Based Tool for Automating Traceability between Requirements and Test Cases</x:v>
      </x:c>
      <x:c r="E213" s="2" t="str">
        <x:v>S07-MU03</x:v>
      </x:c>
      <x:c r="F213" s="2" t="str">
        <x:v>S07-O01</x:v>
      </x:c>
      <x:c r="G213" s="2" t="str">
        <x:v>S07-T01</x:v>
      </x:c>
      <x:c r="H213" s="2" t="str">
        <x:v>LLAMA 3 70B</x:v>
      </x:c>
      <x:c r="I213" s="2" t="str">
        <x:v>llama-3-70b</x:v>
      </x:c>
      <x:c r="J213" s="2" t="str">
        <x:v>Llama</x:v>
      </x:c>
      <x:c r="K213" s="2" t="str">
        <x:v>Llama 3 70B</x:v>
      </x:c>
      <x:c r="L213" s="2" t="str">
        <x:v>Open weights</x:v>
      </x:c>
      <x:c r="M213" s="2" t="str">
        <x:v>Open weights</x:v>
      </x:c>
      <x:c r="N213" s="6" t="str">
        <x:v>Reported in extraction</x:v>
      </x:c>
      <x:c r="O213" s="2" t="str">
        <x:v>Yes</x:v>
      </x:c>
      <x:c r="P213" s="2" t="str"/>
      <x:c r="Q213" s="2" t="str">
        <x:v>Local</x:v>
      </x:c>
      <x:c r="R213" s="2" t="str">
        <x:v>Local on C3SE cluster (requires ~150GB vRAM)</x:v>
      </x:c>
      <x:c r="S213" s="2" t="str">
        <x:v>Unclear</x:v>
      </x:c>
      <x:c r="T213" s="2" t="str">
        <x:v>70B</x:v>
      </x:c>
      <x:c r="U213" s="2" t="str">
        <x:v>2024-05 to 2024-07</x:v>
      </x:c>
      <x:c r="V213" s="2" t="n">
        <x:v>0.1</x:v>
      </x:c>
      <x:c r="W213" s="2" t="str">
        <x:v>NR</x:v>
      </x:c>
      <x:c r="X213" s="2" t="n">
        <x:v>30</x:v>
      </x:c>
      <x:c r="Y213" s="2" t="str">
        <x:v>NR</x:v>
      </x:c>
      <x:c r="Z213" s="2" t="str">
        <x:v>NR</x:v>
      </x:c>
      <x:c r="AA213" s="2" t="str">
        <x:v>Yes</x:v>
      </x:c>
      <x:c r="AB213" s="2" t="str">
        <x:v>No</x:v>
      </x:c>
      <x:c r="AC213" s="6" t="str">
        <x:v>p. 1; Abstract</x:v>
      </x:c>
      <x:c r="AD213" s="6" t="str">
        <x:v>LLAMA 3 70B</x:v>
      </x:c>
    </x:row>
    <x:row r="214" ht="76" customHeight="1">
      <x:c r="A214" s="2" t="str">
        <x:v>S48</x:v>
      </x:c>
      <x:c r="B214" s="2" t="str">
        <x:v>2026</x:v>
      </x:c>
      <x:c r="C214" s="2" t="str">
        <x:v>Published</x:v>
      </x:c>
      <x:c r="D214" s="6" t="str">
        <x:v>LHGLink: LLM—Enhanced Heterogeneous Graph Learning for Issue–Issue Link Prediction</x:v>
      </x:c>
      <x:c r="E214" s="2" t="str">
        <x:v>S48-MU02</x:v>
      </x:c>
      <x:c r="F214" s="2" t="str">
        <x:v>S48-O02</x:v>
      </x:c>
      <x:c r="G214" s="2" t="str">
        <x:v>S48-T01</x:v>
      </x:c>
      <x:c r="H214" s="2" t="str">
        <x:v>LLaMA3-8B</x:v>
      </x:c>
      <x:c r="I214" s="2" t="str">
        <x:v>LLaMA3-8B</x:v>
      </x:c>
      <x:c r="J214" s="2" t="str">
        <x:v>Llama</x:v>
      </x:c>
      <x:c r="K214" s="2" t="str">
        <x:v>Llama 3 8B</x:v>
      </x:c>
      <x:c r="L214" s="2" t="str">
        <x:v>Open weights</x:v>
      </x:c>
      <x:c r="M214" s="2" t="str">
        <x:v>Open weights</x:v>
      </x:c>
      <x:c r="N214" s="6" t="str">
        <x:v>Reported in extraction</x:v>
      </x:c>
      <x:c r="O214" s="2" t="str">
        <x:v>Yes</x:v>
      </x:c>
      <x:c r="P214" s="2" t="str"/>
      <x:c r="Q214" s="2" t="str">
        <x:v>Local</x:v>
      </x:c>
      <x:c r="R214" s="2" t="str">
        <x:v>Locally deployed, inference-only mode</x:v>
      </x:c>
      <x:c r="S214" s="2" t="str">
        <x:v>8B</x:v>
      </x:c>
      <x:c r="T214" s="2" t="str">
        <x:v>8B</x:v>
      </x:c>
      <x:c r="U214" s="2" t="str">
        <x:v>NR</x:v>
      </x:c>
      <x:c r="V214" s="2" t="str">
        <x:v>NR</x:v>
      </x:c>
      <x:c r="W214" s="2" t="str">
        <x:v>NR</x:v>
      </x:c>
      <x:c r="X214" s="2" t="str">
        <x:v>NR</x:v>
      </x:c>
      <x:c r="Y214" s="2" t="str">
        <x:v>NR</x:v>
      </x:c>
      <x:c r="Z214" s="2" t="str">
        <x:v>NR</x:v>
      </x:c>
      <x:c r="AA214" s="2" t="str">
        <x:v>No</x:v>
      </x:c>
      <x:c r="AB214" s="2" t="str">
        <x:v>Yes</x:v>
      </x:c>
      <x:c r="AC214" s="6" t="str">
        <x:v>p. 11; Section IV-D</x:v>
      </x:c>
      <x:c r="AD214" s="6" t="str">
        <x:v>cally deployed LLaMA3-8B model operating in inference- only mode, producing fully deterministic embeddings. Issue</x:v>
      </x:c>
    </x:row>
    <x:row r="215" ht="76" customHeight="1">
      <x:c r="A215" s="2" t="str">
        <x:v>S02</x:v>
      </x:c>
      <x:c r="B215" s="2" t="str">
        <x:v>2026</x:v>
      </x:c>
      <x:c r="C215" s="2" t="str">
        <x:v>Published</x:v>
      </x:c>
      <x:c r="D215" s="6" t="str">
        <x:v>Who's Who? LLM-assisted Software Traceability with Architecture Entity Recognition</x:v>
      </x:c>
      <x:c r="E215" s="2" t="str">
        <x:v>S02-MU08</x:v>
      </x:c>
      <x:c r="F215" s="2" t="str">
        <x:v>S02-O01</x:v>
      </x:c>
      <x:c r="G215" s="2" t="str">
        <x:v>S02-T01</x:v>
      </x:c>
      <x:c r="H215" s="2" t="str">
        <x:v>Meta AI Llama 3.1 70b</x:v>
      </x:c>
      <x:c r="I215" s="2" t="str">
        <x:v>Llama 3.1 70b</x:v>
      </x:c>
      <x:c r="J215" s="2" t="str">
        <x:v>Llama</x:v>
      </x:c>
      <x:c r="K215" s="2" t="str">
        <x:v>Llama 3.1 70B</x:v>
      </x:c>
      <x:c r="L215" s="2" t="str">
        <x:v>Open weights</x:v>
      </x:c>
      <x:c r="M215" s="2" t="str">
        <x:v>Open weights</x:v>
      </x:c>
      <x:c r="N215" s="6" t="str">
        <x:v>Reported in extraction</x:v>
      </x:c>
      <x:c r="O215" s="2" t="str">
        <x:v>Yes</x:v>
      </x:c>
      <x:c r="P215" s="2" t="str"/>
      <x:c r="Q215" s="2" t="str">
        <x:v>Local</x:v>
      </x:c>
      <x:c r="R215" s="2" t="str">
        <x:v>NR</x:v>
      </x:c>
      <x:c r="S215" s="2" t="str">
        <x:v>NR</x:v>
      </x:c>
      <x:c r="T215" s="2" t="str">
        <x:v>70b</x:v>
      </x:c>
      <x:c r="U215" s="2" t="str">
        <x:v>NR</x:v>
      </x:c>
      <x:c r="V215" s="2" t="n">
        <x:v>0</x:v>
      </x:c>
      <x:c r="W215" s="2" t="str">
        <x:v>NR</x:v>
      </x:c>
      <x:c r="X215" s="2" t="n">
        <x:v>1</x:v>
      </x:c>
      <x:c r="Y215" s="2" t="str">
        <x:v>NR</x:v>
      </x:c>
      <x:c r="Z215" s="2" t="str">
        <x:v>NR</x:v>
      </x:c>
      <x:c r="AA215" s="2" t="str">
        <x:v>No</x:v>
      </x:c>
      <x:c r="AB215" s="2" t="str">
        <x:v>No</x:v>
      </x:c>
      <x:c r="AC215" s="6" t="str">
        <x:v>p. 10; Section 5.1; Section 5.5</x:v>
      </x:c>
      <x:c r="AD215" s="6" t="str">
        <x:v>mini, GPT-4o, GPT-4 Turbo, GPT-4, and GPT-3.5 Turbo. As local models, we use Codellama 13b, Meta AI Llama 3.1 8b, and Meta AI Llama 3.1 70b.</x:v>
      </x:c>
    </x:row>
    <x:row r="216" ht="76" customHeight="1">
      <x:c r="A216" s="2" t="str">
        <x:v>S19</x:v>
      </x:c>
      <x:c r="B216" s="2" t="str">
        <x:v>2025</x:v>
      </x:c>
      <x:c r="C216" s="2" t="str">
        <x:v>Published</x:v>
      </x:c>
      <x:c r="D216" s="6" t="str">
        <x:v>On the Impact of Requirements Smells in Prompts: The Case of Automated Traceability</x:v>
      </x:c>
      <x:c r="E216" s="2" t="str">
        <x:v>S19-MU02</x:v>
      </x:c>
      <x:c r="F216" s="2" t="str">
        <x:v>S19-O01</x:v>
      </x:c>
      <x:c r="G216" s="2" t="str">
        <x:v>S19-T01</x:v>
      </x:c>
      <x:c r="H216" s="2" t="str">
        <x:v>Llama 3.1</x:v>
      </x:c>
      <x:c r="I216" s="2" t="str">
        <x:v>Llama 3.1</x:v>
      </x:c>
      <x:c r="J216" s="2" t="str">
        <x:v>Llama</x:v>
      </x:c>
      <x:c r="K216" s="2" t="str">
        <x:v>Llama 3.1 70B</x:v>
      </x:c>
      <x:c r="L216" s="2" t="str">
        <x:v>Open weights</x:v>
      </x:c>
      <x:c r="M216" s="2" t="str">
        <x:v>Open weights</x:v>
      </x:c>
      <x:c r="N216" s="6" t="str">
        <x:v>Reported in extraction</x:v>
      </x:c>
      <x:c r="O216" s="2" t="str">
        <x:v>Yes</x:v>
      </x:c>
      <x:c r="P216" s="2" t="str"/>
      <x:c r="Q216" s="2" t="str">
        <x:v>Unclear</x:v>
      </x:c>
      <x:c r="R216" s="2" t="str">
        <x:v>NR</x:v>
      </x:c>
      <x:c r="S216" s="2" t="str">
        <x:v>70B</x:v>
      </x:c>
      <x:c r="T216" s="2" t="str">
        <x:v>70B</x:v>
      </x:c>
      <x:c r="U216" s="2" t="str">
        <x:v>Unclear</x:v>
      </x:c>
      <x:c r="V216" s="2" t="n">
        <x:v>0</x:v>
      </x:c>
      <x:c r="W216" s="2" t="str">
        <x:v>NR</x:v>
      </x:c>
      <x:c r="X216" s="2" t="n">
        <x:v>5</x:v>
      </x:c>
      <x:c r="Y216" s="2" t="str">
        <x:v>128k</x:v>
      </x:c>
      <x:c r="Z216" s="2" t="str">
        <x:v>NR</x:v>
      </x:c>
      <x:c r="AA216" s="2" t="str">
        <x:v>No</x:v>
      </x:c>
      <x:c r="AB216" s="2" t="str">
        <x:v>No</x:v>
      </x:c>
      <x:c r="AC216" s="6" t="str">
        <x:v>p. 2; Section III.A</x:v>
      </x:c>
      <x:c r="AD216" s="6" t="str">
        <x:v>Llama 3.1 (70B)</x:v>
      </x:c>
    </x:row>
    <x:row r="217" ht="76" customHeight="1">
      <x:c r="A217" s="2" t="str">
        <x:v>S12</x:v>
      </x:c>
      <x:c r="B217" s="2" t="str">
        <x:v>2026</x:v>
      </x:c>
      <x:c r="C217" s="2" t="str">
        <x:v>Published</x:v>
      </x:c>
      <x:c r="D217" s="6" t="str">
        <x:v>TraceLLM: Leveraging Large Language Models with Prompt Engineering for Enhanced Requirements Traceability</x:v>
      </x:c>
      <x:c r="E217" s="2" t="str">
        <x:v>S12-MU08</x:v>
      </x:c>
      <x:c r="F217" s="2" t="str">
        <x:v>S12-O01</x:v>
      </x:c>
      <x:c r="G217" s="2" t="str">
        <x:v>S12-T01</x:v>
      </x:c>
      <x:c r="H217" s="2" t="str">
        <x:v>Llama-3.1-70B-Instruct-Turbo</x:v>
      </x:c>
      <x:c r="I217" s="2" t="str">
        <x:v>Llama 3.1 70B Instruct Turbo</x:v>
      </x:c>
      <x:c r="J217" s="2" t="str">
        <x:v>Llama</x:v>
      </x:c>
      <x:c r="K217" s="2" t="str">
        <x:v>Llama 3.1 70B Instruct Turbo</x:v>
      </x:c>
      <x:c r="L217" s="2" t="str">
        <x:v>Open weights</x:v>
      </x:c>
      <x:c r="M217" s="2" t="str">
        <x:v>Open weights</x:v>
      </x:c>
      <x:c r="N217" s="6" t="str">
        <x:v>Reported in extraction</x:v>
      </x:c>
      <x:c r="O217" s="2" t="str">
        <x:v>Yes</x:v>
      </x:c>
      <x:c r="P217" s="2" t="str"/>
      <x:c r="Q217" s="2" t="str">
        <x:v>API</x:v>
      </x:c>
      <x:c r="R217" s="2" t="str">
        <x:v>OpenRouter</x:v>
      </x:c>
      <x:c r="S217" s="2" t="str">
        <x:v>Llama-3.1-70B-Instruct-Turbo</x:v>
      </x:c>
      <x:c r="T217" s="2" t="str">
        <x:v>70B</x:v>
      </x:c>
      <x:c r="U217" s="2" t="str">
        <x:v>NR</x:v>
      </x:c>
      <x:c r="V217" s="2" t="n">
        <x:v>0</x:v>
      </x:c>
      <x:c r="W217" s="2" t="str">
        <x:v>NR</x:v>
      </x:c>
      <x:c r="X217" s="2" t="str">
        <x:v>NR</x:v>
      </x:c>
      <x:c r="Y217" s="2" t="str">
        <x:v>NR</x:v>
      </x:c>
      <x:c r="Z217" s="2" t="str">
        <x:v>NR</x:v>
      </x:c>
      <x:c r="AA217" s="2" t="str">
        <x:v>Yes</x:v>
      </x:c>
      <x:c r="AB217" s="2" t="str">
        <x:v>No</x:v>
      </x:c>
      <x:c r="AC217" s="6" t="str">
        <x:v>p. 19; Section 5.4</x:v>
      </x:c>
      <x:c r="AD217"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row>
    <x:row r="218" ht="76" customHeight="1">
      <x:c r="A218" s="2" t="str">
        <x:v>S02</x:v>
      </x:c>
      <x:c r="B218" s="2" t="str">
        <x:v>2026</x:v>
      </x:c>
      <x:c r="C218" s="2" t="str">
        <x:v>Published</x:v>
      </x:c>
      <x:c r="D218" s="6" t="str">
        <x:v>Who's Who? LLM-assisted Software Traceability with Architecture Entity Recognition</x:v>
      </x:c>
      <x:c r="E218" s="2" t="str">
        <x:v>S02-MU07</x:v>
      </x:c>
      <x:c r="F218" s="2" t="str">
        <x:v>S02-O01</x:v>
      </x:c>
      <x:c r="G218" s="2" t="str">
        <x:v>S02-T01</x:v>
      </x:c>
      <x:c r="H218" s="2" t="str">
        <x:v>Meta AI Llama 3.1 8b</x:v>
      </x:c>
      <x:c r="I218" s="2" t="str">
        <x:v>Llama 3.1 8b</x:v>
      </x:c>
      <x:c r="J218" s="2" t="str">
        <x:v>Llama</x:v>
      </x:c>
      <x:c r="K218" s="2" t="str">
        <x:v>Llama 3.1 8B</x:v>
      </x:c>
      <x:c r="L218" s="2" t="str">
        <x:v>Open weights</x:v>
      </x:c>
      <x:c r="M218" s="2" t="str">
        <x:v>Open weights</x:v>
      </x:c>
      <x:c r="N218" s="6" t="str">
        <x:v>Reported in extraction</x:v>
      </x:c>
      <x:c r="O218" s="2" t="str">
        <x:v>Yes</x:v>
      </x:c>
      <x:c r="P218" s="2" t="str"/>
      <x:c r="Q218" s="2" t="str">
        <x:v>Local</x:v>
      </x:c>
      <x:c r="R218" s="2" t="str">
        <x:v>NR</x:v>
      </x:c>
      <x:c r="S218" s="2" t="str">
        <x:v>NR</x:v>
      </x:c>
      <x:c r="T218" s="2" t="str">
        <x:v>8b</x:v>
      </x:c>
      <x:c r="U218" s="2" t="str">
        <x:v>NR</x:v>
      </x:c>
      <x:c r="V218" s="2" t="n">
        <x:v>0</x:v>
      </x:c>
      <x:c r="W218" s="2" t="str">
        <x:v>NR</x:v>
      </x:c>
      <x:c r="X218" s="2" t="n">
        <x:v>1</x:v>
      </x:c>
      <x:c r="Y218" s="2" t="str">
        <x:v>NR</x:v>
      </x:c>
      <x:c r="Z218" s="2" t="str">
        <x:v>NR</x:v>
      </x:c>
      <x:c r="AA218" s="2" t="str">
        <x:v>No</x:v>
      </x:c>
      <x:c r="AB218" s="2" t="str">
        <x:v>No</x:v>
      </x:c>
      <x:c r="AC218" s="6" t="str">
        <x:v>p. 10; Section 5.1; Section 5.5</x:v>
      </x:c>
      <x:c r="AD218" s="6" t="str">
        <x:v>mini, GPT-4o, GPT-4 Turbo, GPT-4, and GPT-3.5 Turbo. As local models, we use Codellama 13b, Meta AI Llama 3.1 8b, and Meta AI Llama 3.1 70b.</x:v>
      </x:c>
    </x:row>
    <x:row r="219" ht="76" customHeight="1">
      <x:c r="A219" s="2" t="str">
        <x:v>S30</x:v>
      </x:c>
      <x:c r="B219" s="2" t="str">
        <x:v>2025</x:v>
      </x:c>
      <x:c r="C219" s="2" t="str">
        <x:v>Published</x:v>
      </x:c>
      <x:c r="D219" s="6" t="str">
        <x:v>Navigating through Work Items in Issue Tracking Systems via Natural Language Queries</x:v>
      </x:c>
      <x:c r="E219" s="2" t="str">
        <x:v>S30-MU01</x:v>
      </x:c>
      <x:c r="F219" s="2" t="str">
        <x:v>S30-O03</x:v>
      </x:c>
      <x:c r="G219" s="2" t="str">
        <x:v>S30-T01</x:v>
      </x:c>
      <x:c r="H219" s="2" t="str">
        <x:v>Llama3.1 (8B)</x:v>
      </x:c>
      <x:c r="I219" s="2" t="str">
        <x:v>Meta Llama 3.1 8B</x:v>
      </x:c>
      <x:c r="J219" s="2" t="str">
        <x:v>Llama</x:v>
      </x:c>
      <x:c r="K219" s="2" t="str">
        <x:v>Llama 3.1 8B</x:v>
      </x:c>
      <x:c r="L219" s="2" t="str">
        <x:v>Open weights</x:v>
      </x:c>
      <x:c r="M219" s="2" t="str">
        <x:v>Open weights</x:v>
      </x:c>
      <x:c r="N219" s="6" t="str">
        <x:v>Reported in extraction</x:v>
      </x:c>
      <x:c r="O219" s="2" t="str">
        <x:v>Yes</x:v>
      </x:c>
      <x:c r="P219" s="2" t="str"/>
      <x:c r="Q219" s="2" t="str">
        <x:v>Local</x:v>
      </x:c>
      <x:c r="R219" s="2" t="str">
        <x:v>Local via Ollama</x:v>
      </x:c>
      <x:c r="S219" s="2" t="str">
        <x:v>3.1</x:v>
      </x:c>
      <x:c r="T219" s="2" t="str">
        <x:v>8B</x:v>
      </x:c>
      <x:c r="U219" s="2" t="str">
        <x:v>NR</x:v>
      </x:c>
      <x:c r="V219" s="2" t="n">
        <x:v>0</x:v>
      </x:c>
      <x:c r="W219" s="2" t="str">
        <x:v>NR</x:v>
      </x:c>
      <x:c r="X219" s="2" t="str">
        <x:v>NR</x:v>
      </x:c>
      <x:c r="Y219" s="2" t="str">
        <x:v>NR</x:v>
      </x:c>
      <x:c r="Z219" s="2" t="str">
        <x:v>NR</x:v>
      </x:c>
      <x:c r="AA219" s="2" t="str">
        <x:v>No</x:v>
      </x:c>
      <x:c r="AB219" s="2" t="str">
        <x:v>No</x:v>
      </x:c>
      <x:c r="AC219" s="6" t="str">
        <x:v>p. 4; Section III-D</x:v>
      </x:c>
      <x:c r="AD219" s="6" t="str">
        <x:v>We use Ollama to host a local instance of Llama 3.1 due to sensitive and confidential data. In our implementation, we integrate Meta’s Llama3.1 (8B, the temperature is set to 0 to maximize determinism for both use cases)</x:v>
      </x:c>
    </x:row>
    <x:row r="220" ht="76" customHeight="1">
      <x:c r="A220" s="2" t="str">
        <x:v>S30</x:v>
      </x:c>
      <x:c r="B220" s="2" t="str">
        <x:v>2025</x:v>
      </x:c>
      <x:c r="C220" s="2" t="str">
        <x:v>Published</x:v>
      </x:c>
      <x:c r="D220" s="6" t="str">
        <x:v>Navigating through Work Items in Issue Tracking Systems via Natural Language Queries</x:v>
      </x:c>
      <x:c r="E220" s="2" t="str">
        <x:v>S30-MU02</x:v>
      </x:c>
      <x:c r="F220" s="2" t="str">
        <x:v>S30-O04</x:v>
      </x:c>
      <x:c r="G220" s="2" t="str">
        <x:v>S30-T01</x:v>
      </x:c>
      <x:c r="H220" s="2" t="str">
        <x:v>Llama3.1 (8B)</x:v>
      </x:c>
      <x:c r="I220" s="2" t="str">
        <x:v>Meta Llama 3.1 8B</x:v>
      </x:c>
      <x:c r="J220" s="2" t="str">
        <x:v>Llama</x:v>
      </x:c>
      <x:c r="K220" s="2" t="str">
        <x:v>Llama 3.1 8B</x:v>
      </x:c>
      <x:c r="L220" s="2" t="str">
        <x:v>Open weights</x:v>
      </x:c>
      <x:c r="M220" s="2" t="str">
        <x:v>Open weights</x:v>
      </x:c>
      <x:c r="N220" s="6" t="str">
        <x:v>Reported in extraction</x:v>
      </x:c>
      <x:c r="O220" s="2" t="str">
        <x:v>Yes</x:v>
      </x:c>
      <x:c r="P220" s="2" t="str"/>
      <x:c r="Q220" s="2" t="str">
        <x:v>Local</x:v>
      </x:c>
      <x:c r="R220" s="2" t="str">
        <x:v>Local via Ollama</x:v>
      </x:c>
      <x:c r="S220" s="2" t="str">
        <x:v>3.1</x:v>
      </x:c>
      <x:c r="T220" s="2" t="str">
        <x:v>8B</x:v>
      </x:c>
      <x:c r="U220" s="2" t="str">
        <x:v>NR</x:v>
      </x:c>
      <x:c r="V220" s="2" t="n">
        <x:v>0</x:v>
      </x:c>
      <x:c r="W220" s="2" t="str">
        <x:v>NR</x:v>
      </x:c>
      <x:c r="X220" s="2" t="str">
        <x:v>NR</x:v>
      </x:c>
      <x:c r="Y220" s="2" t="str">
        <x:v>NR</x:v>
      </x:c>
      <x:c r="Z220" s="2" t="str">
        <x:v>NR</x:v>
      </x:c>
      <x:c r="AA220" s="2" t="str">
        <x:v>No</x:v>
      </x:c>
      <x:c r="AB220" s="2" t="str">
        <x:v>No</x:v>
      </x:c>
      <x:c r="AC220" s="6" t="str">
        <x:v>p. 4; Section III-D</x:v>
      </x:c>
      <x:c r="AD220" s="6" t="str">
        <x:v>We use Ollama to host a local instance of Llama 3.1 due to sensitive and confidential data. In our implementation, we integrate Meta’s Llama3.1 (8B, the temperature is set to 0 to maximize determinism for both use cases)</x:v>
      </x:c>
    </x:row>
    <x:row r="221" ht="76" customHeight="1">
      <x:c r="A221" s="2" t="str">
        <x:v>S30</x:v>
      </x:c>
      <x:c r="B221" s="2" t="str">
        <x:v>2025</x:v>
      </x:c>
      <x:c r="C221" s="2" t="str">
        <x:v>Published</x:v>
      </x:c>
      <x:c r="D221" s="6" t="str">
        <x:v>Navigating through Work Items in Issue Tracking Systems via Natural Language Queries</x:v>
      </x:c>
      <x:c r="E221" s="2" t="str">
        <x:v>S30-MU03</x:v>
      </x:c>
      <x:c r="F221" s="2" t="str">
        <x:v>S30-O03</x:v>
      </x:c>
      <x:c r="G221" s="2" t="str">
        <x:v>S30-T02</x:v>
      </x:c>
      <x:c r="H221" s="2" t="str">
        <x:v>Llama3.1 (8B)</x:v>
      </x:c>
      <x:c r="I221" s="2" t="str">
        <x:v>Meta Llama 3.1 8B</x:v>
      </x:c>
      <x:c r="J221" s="2" t="str">
        <x:v>Llama</x:v>
      </x:c>
      <x:c r="K221" s="2" t="str">
        <x:v>Llama 3.1 8B</x:v>
      </x:c>
      <x:c r="L221" s="2" t="str">
        <x:v>Open weights</x:v>
      </x:c>
      <x:c r="M221" s="2" t="str">
        <x:v>Open weights</x:v>
      </x:c>
      <x:c r="N221" s="6" t="str">
        <x:v>Reported in extraction</x:v>
      </x:c>
      <x:c r="O221" s="2" t="str">
        <x:v>Yes</x:v>
      </x:c>
      <x:c r="P221" s="2" t="str"/>
      <x:c r="Q221" s="2" t="str">
        <x:v>Local</x:v>
      </x:c>
      <x:c r="R221" s="2" t="str">
        <x:v>Local via Ollama</x:v>
      </x:c>
      <x:c r="S221" s="2" t="str">
        <x:v>3.1</x:v>
      </x:c>
      <x:c r="T221" s="2" t="str">
        <x:v>8B</x:v>
      </x:c>
      <x:c r="U221" s="2" t="str">
        <x:v>NR</x:v>
      </x:c>
      <x:c r="V221" s="2" t="n">
        <x:v>0</x:v>
      </x:c>
      <x:c r="W221" s="2" t="str">
        <x:v>NR</x:v>
      </x:c>
      <x:c r="X221" s="2" t="str">
        <x:v>NR</x:v>
      </x:c>
      <x:c r="Y221" s="2" t="str">
        <x:v>NR</x:v>
      </x:c>
      <x:c r="Z221" s="2" t="str">
        <x:v>NR</x:v>
      </x:c>
      <x:c r="AA221" s="2" t="str">
        <x:v>No</x:v>
      </x:c>
      <x:c r="AB221" s="2" t="str">
        <x:v>No</x:v>
      </x:c>
      <x:c r="AC221" s="6" t="str">
        <x:v>p. 4; Section III-D</x:v>
      </x:c>
      <x:c r="AD221" s="6" t="str">
        <x:v>We use Ollama to host a local instance of Llama 3.1 due to sensitive and confidential data. In our implementation, we integrate Meta’s Llama3.1 (8B, the temperature is set to 0 to maximize determinism for both use cases)</x:v>
      </x:c>
    </x:row>
    <x:row r="222" ht="76" customHeight="1">
      <x:c r="A222" s="2" t="str">
        <x:v>S30</x:v>
      </x:c>
      <x:c r="B222" s="2" t="str">
        <x:v>2025</x:v>
      </x:c>
      <x:c r="C222" s="2" t="str">
        <x:v>Published</x:v>
      </x:c>
      <x:c r="D222" s="6" t="str">
        <x:v>Navigating through Work Items in Issue Tracking Systems via Natural Language Queries</x:v>
      </x:c>
      <x:c r="E222" s="2" t="str">
        <x:v>S30-MU04</x:v>
      </x:c>
      <x:c r="F222" s="2" t="str">
        <x:v>S30-O04</x:v>
      </x:c>
      <x:c r="G222" s="2" t="str">
        <x:v>S30-T02</x:v>
      </x:c>
      <x:c r="H222" s="2" t="str">
        <x:v>Llama3.1 (8B)</x:v>
      </x:c>
      <x:c r="I222" s="2" t="str">
        <x:v>Meta Llama 3.1 8B</x:v>
      </x:c>
      <x:c r="J222" s="2" t="str">
        <x:v>Llama</x:v>
      </x:c>
      <x:c r="K222" s="2" t="str">
        <x:v>Llama 3.1 8B</x:v>
      </x:c>
      <x:c r="L222" s="2" t="str">
        <x:v>Open weights</x:v>
      </x:c>
      <x:c r="M222" s="2" t="str">
        <x:v>Open weights</x:v>
      </x:c>
      <x:c r="N222" s="6" t="str">
        <x:v>Reported in extraction</x:v>
      </x:c>
      <x:c r="O222" s="2" t="str">
        <x:v>Yes</x:v>
      </x:c>
      <x:c r="P222" s="2" t="str"/>
      <x:c r="Q222" s="2" t="str">
        <x:v>Local</x:v>
      </x:c>
      <x:c r="R222" s="2" t="str">
        <x:v>Local via Ollama</x:v>
      </x:c>
      <x:c r="S222" s="2" t="str">
        <x:v>3.1</x:v>
      </x:c>
      <x:c r="T222" s="2" t="str">
        <x:v>8B</x:v>
      </x:c>
      <x:c r="U222" s="2" t="str">
        <x:v>NR</x:v>
      </x:c>
      <x:c r="V222" s="2" t="n">
        <x:v>0</x:v>
      </x:c>
      <x:c r="W222" s="2" t="str">
        <x:v>NR</x:v>
      </x:c>
      <x:c r="X222" s="2" t="str">
        <x:v>NR</x:v>
      </x:c>
      <x:c r="Y222" s="2" t="str">
        <x:v>NR</x:v>
      </x:c>
      <x:c r="Z222" s="2" t="str">
        <x:v>NR</x:v>
      </x:c>
      <x:c r="AA222" s="2" t="str">
        <x:v>No</x:v>
      </x:c>
      <x:c r="AB222" s="2" t="str">
        <x:v>No</x:v>
      </x:c>
      <x:c r="AC222" s="6" t="str">
        <x:v>p. 4; Section III-D</x:v>
      </x:c>
      <x:c r="AD222" s="6" t="str">
        <x:v>We use Ollama to host a local instance of Llama 3.1 due to sensitive and confidential data. In our implementation, we integrate Meta’s Llama3.1 (8B, the temperature is set to 0 to maximize determinism for both use cases)</x:v>
      </x:c>
    </x:row>
    <x:row r="223" ht="76" customHeight="1">
      <x:c r="A223" s="2" t="str">
        <x:v>S42</x:v>
      </x:c>
      <x:c r="B223" s="2" t="str">
        <x:v>2025</x:v>
      </x:c>
      <x:c r="C223" s="2" t="str">
        <x:v>Published</x:v>
      </x:c>
      <x:c r="D223" s="6" t="str">
        <x:v>Requirements Traceability Link Recovery via Retrieval-Augmented Generation</x:v>
      </x:c>
      <x:c r="E223" s="2" t="str">
        <x:v>S42-MU04</x:v>
      </x:c>
      <x:c r="F223" s="2" t="str">
        <x:v>S42-O01</x:v>
      </x:c>
      <x:c r="G223" s="2" t="str">
        <x:v>S42-T01</x:v>
      </x:c>
      <x:c r="H223" s="2" t="str">
        <x:v>Meta AI Llama3.1 8b</x:v>
      </x:c>
      <x:c r="I223" s="2" t="str">
        <x:v>llama-3.1-8b</x:v>
      </x:c>
      <x:c r="J223" s="2" t="str">
        <x:v>Llama</x:v>
      </x:c>
      <x:c r="K223" s="2" t="str">
        <x:v>Llama 3.1 8B</x:v>
      </x:c>
      <x:c r="L223" s="2" t="str">
        <x:v>Open weights</x:v>
      </x:c>
      <x:c r="M223" s="2" t="str">
        <x:v>Open weights</x:v>
      </x:c>
      <x:c r="N223" s="6" t="str">
        <x:v>Reported in extraction</x:v>
      </x:c>
      <x:c r="O223" s="2" t="str">
        <x:v>Yes</x:v>
      </x:c>
      <x:c r="P223" s="2" t="str"/>
      <x:c r="Q223" s="2" t="str">
        <x:v>Local</x:v>
      </x:c>
      <x:c r="R223" s="2" t="str">
        <x:v>Local GPU (Tesla V100S)</x:v>
      </x:c>
      <x:c r="S223" s="2" t="str">
        <x:v>NR</x:v>
      </x:c>
      <x:c r="T223" s="2" t="str">
        <x:v>8b</x:v>
      </x:c>
      <x:c r="U223" s="2" t="str">
        <x:v>NR</x:v>
      </x:c>
      <x:c r="V223" s="2" t="n">
        <x:v>0</x:v>
      </x:c>
      <x:c r="W223" s="2" t="str">
        <x:v>133742243</x:v>
      </x:c>
      <x:c r="X223" s="2" t="str">
        <x:v>Unclear</x:v>
      </x:c>
      <x:c r="Y223" s="2" t="str">
        <x:v>NR</x:v>
      </x:c>
      <x:c r="Z223" s="2" t="str">
        <x:v>NR</x:v>
      </x:c>
      <x:c r="AA223" s="2" t="str">
        <x:v>No</x:v>
      </x:c>
      <x:c r="AB223" s="2" t="str">
        <x:v>No</x:v>
      </x:c>
      <x:c r="AC223" s="6" t="str">
        <x:v>p. 5; Section 4.1</x:v>
      </x:c>
      <x:c r="AD223" s="6" t="str">
        <x:v>our experiments, we set the temperature of the LLMs to zero and set a fixed</x:v>
      </x:c>
    </x:row>
    <x:row r="224" ht="76" customHeight="1">
      <x:c r="A224" s="2" t="str">
        <x:v>S42</x:v>
      </x:c>
      <x:c r="B224" s="2" t="str">
        <x:v>2025</x:v>
      </x:c>
      <x:c r="C224" s="2" t="str">
        <x:v>Published</x:v>
      </x:c>
      <x:c r="D224" s="6" t="str">
        <x:v>Requirements Traceability Link Recovery via Retrieval-Augmented Generation</x:v>
      </x:c>
      <x:c r="E224" s="2" t="str">
        <x:v>S42-MU08</x:v>
      </x:c>
      <x:c r="F224" s="2" t="str">
        <x:v>S42-O01</x:v>
      </x:c>
      <x:c r="G224" s="2" t="str">
        <x:v>S42-T01</x:v>
      </x:c>
      <x:c r="H224" s="2" t="str">
        <x:v>Meta AI Llama3.1 8b</x:v>
      </x:c>
      <x:c r="I224" s="2" t="str">
        <x:v>llama-3.1-8b</x:v>
      </x:c>
      <x:c r="J224" s="2" t="str">
        <x:v>Llama</x:v>
      </x:c>
      <x:c r="K224" s="2" t="str">
        <x:v>Llama 3.1 8B</x:v>
      </x:c>
      <x:c r="L224" s="2" t="str">
        <x:v>Open weights</x:v>
      </x:c>
      <x:c r="M224" s="2" t="str">
        <x:v>Open weights</x:v>
      </x:c>
      <x:c r="N224" s="6" t="str">
        <x:v>Reported in extraction</x:v>
      </x:c>
      <x:c r="O224" s="2" t="str">
        <x:v>Yes</x:v>
      </x:c>
      <x:c r="P224" s="2" t="str"/>
      <x:c r="Q224" s="2" t="str">
        <x:v>Local</x:v>
      </x:c>
      <x:c r="R224" s="2" t="str">
        <x:v>Local GPU (Tesla V100S)</x:v>
      </x:c>
      <x:c r="S224" s="2" t="str">
        <x:v>NR</x:v>
      </x:c>
      <x:c r="T224" s="2" t="str">
        <x:v>8b</x:v>
      </x:c>
      <x:c r="U224" s="2" t="str">
        <x:v>NR</x:v>
      </x:c>
      <x:c r="V224" s="2" t="n">
        <x:v>0</x:v>
      </x:c>
      <x:c r="W224" s="2" t="str">
        <x:v>133742243</x:v>
      </x:c>
      <x:c r="X224" s="2" t="str">
        <x:v>Unclear</x:v>
      </x:c>
      <x:c r="Y224" s="2" t="str">
        <x:v>NR</x:v>
      </x:c>
      <x:c r="Z224" s="2" t="str">
        <x:v>NR</x:v>
      </x:c>
      <x:c r="AA224" s="2" t="str">
        <x:v>No</x:v>
      </x:c>
      <x:c r="AB224" s="2" t="str">
        <x:v>No</x:v>
      </x:c>
      <x:c r="AC224" s="6" t="str">
        <x:v>p. 5; Section 4.1</x:v>
      </x:c>
      <x:c r="AD224" s="6" t="str">
        <x:v>our experiments, we set the temperature of the LLMs to zero and set a fixed</x:v>
      </x:c>
    </x:row>
    <x:row r="225" ht="76" customHeight="1">
      <x:c r="A225" s="2" t="str">
        <x:v>S10</x:v>
      </x:c>
      <x:c r="B225" s="2" t="str">
        <x:v>2026</x:v>
      </x:c>
      <x:c r="C225" s="2" t="str">
        <x:v>Grey literature</x:v>
      </x:c>
      <x:c r="D225" s="6" t="str">
        <x:v>Think Harder and Don't Overlook Your Options: Revisiting Issue-Commit Linking with LLM-Assisted Retrieval</x:v>
      </x:c>
      <x:c r="E225" s="2" t="str">
        <x:v>S10-MU02</x:v>
      </x:c>
      <x:c r="F225" s="2" t="str">
        <x:v>S10-O01</x:v>
      </x:c>
      <x:c r="G225" s="2" t="str">
        <x:v>S10-T01</x:v>
      </x:c>
      <x:c r="H225" s="2" t="str">
        <x:v>Llama-3.1-8B-Instruct</x:v>
      </x:c>
      <x:c r="I225" s="2" t="str">
        <x:v>Llama-3.1-8B-Instruct</x:v>
      </x:c>
      <x:c r="J225" s="2" t="str">
        <x:v>Llama</x:v>
      </x:c>
      <x:c r="K225" s="2" t="str">
        <x:v>Llama 3.1 8B Instruct</x:v>
      </x:c>
      <x:c r="L225" s="2" t="str">
        <x:v>Open weights</x:v>
      </x:c>
      <x:c r="M225" s="2" t="str">
        <x:v>Open weights</x:v>
      </x:c>
      <x:c r="N225" s="6" t="str">
        <x:v>Reported in extraction</x:v>
      </x:c>
      <x:c r="O225" s="2" t="str">
        <x:v>Yes</x:v>
      </x:c>
      <x:c r="P225" s="2" t="str"/>
      <x:c r="Q225" s="2" t="str">
        <x:v>Local</x:v>
      </x:c>
      <x:c r="R225" s="2" t="str">
        <x:v>locally run</x:v>
      </x:c>
      <x:c r="S225" s="2" t="str">
        <x:v>3.1-8B-Instruct</x:v>
      </x:c>
      <x:c r="T225" s="2" t="str">
        <x:v>8B</x:v>
      </x:c>
      <x:c r="U225" s="2" t="str">
        <x:v>2026-04-30</x:v>
      </x:c>
      <x:c r="V225" s="2" t="str">
        <x:v>NR</x:v>
      </x:c>
      <x:c r="W225" s="2" t="str">
        <x:v>NR</x:v>
      </x:c>
      <x:c r="X225" s="2" t="str">
        <x:v>NR</x:v>
      </x:c>
      <x:c r="Y225" s="2" t="str">
        <x:v>NR</x:v>
      </x:c>
      <x:c r="Z225" s="2" t="str">
        <x:v>NR</x:v>
      </x:c>
      <x:c r="AA225" s="2" t="str">
        <x:v>No</x:v>
      </x:c>
      <x:c r="AB225" s="2" t="str">
        <x:v>No</x:v>
      </x:c>
      <x:c r="AC225" s="6" t="str">
        <x:v>p. 8; Section 5.3</x:v>
      </x:c>
      <x:c r="AD225" s="6" t="str">
        <x:v>Llama-3.1-8B-Instruct</x:v>
      </x:c>
    </x:row>
    <x:row r="226" ht="76" customHeight="1">
      <x:c r="A226" s="2" t="str">
        <x:v>S33</x:v>
      </x:c>
      <x:c r="B226" s="2" t="str">
        <x:v>2025</x:v>
      </x:c>
      <x:c r="C226" s="2" t="str">
        <x:v>Published</x:v>
      </x:c>
      <x:c r="D226" s="6" t="str">
        <x:v>Can we use LLMs to recover Trace Links between Source Code and Security Requirements?</x:v>
      </x:c>
      <x:c r="E226" s="2" t="str">
        <x:v>S33-MU01</x:v>
      </x:c>
      <x:c r="F226" s="2" t="str">
        <x:v>S33-O01</x:v>
      </x:c>
      <x:c r="G226" s="2" t="str">
        <x:v>S33-T01</x:v>
      </x:c>
      <x:c r="H226" s="2" t="str">
        <x:v>Llama-3.1-8B-Instruct</x:v>
      </x:c>
      <x:c r="I226" s="2" t="str">
        <x:v>Llama-3.1-8B-Instruct</x:v>
      </x:c>
      <x:c r="J226" s="2" t="str">
        <x:v>Llama</x:v>
      </x:c>
      <x:c r="K226" s="2" t="str">
        <x:v>Llama 3.1 8B Instruct</x:v>
      </x:c>
      <x:c r="L226" s="2" t="str">
        <x:v>Open weights</x:v>
      </x:c>
      <x:c r="M226" s="2" t="str">
        <x:v>Open weights</x:v>
      </x:c>
      <x:c r="N226" s="6" t="str">
        <x:v>Reported in extraction</x:v>
      </x:c>
      <x:c r="O226" s="2" t="str">
        <x:v>Yes</x:v>
      </x:c>
      <x:c r="P226" s="2" t="str"/>
      <x:c r="Q226" s="2" t="str">
        <x:v>API</x:v>
      </x:c>
      <x:c r="R226" s="2" t="str">
        <x:v>GWDG API service</x:v>
      </x:c>
      <x:c r="S226" s="2" t="str">
        <x:v>3.1</x:v>
      </x:c>
      <x:c r="T226" s="2" t="str">
        <x:v>8B</x:v>
      </x:c>
      <x:c r="U226" s="2" t="str">
        <x:v>NR</x:v>
      </x:c>
      <x:c r="V226" s="2" t="str">
        <x:v>NR</x:v>
      </x:c>
      <x:c r="W226" s="2" t="str">
        <x:v>NR</x:v>
      </x:c>
      <x:c r="X226" s="2" t="str">
        <x:v>NR</x:v>
      </x:c>
      <x:c r="Y226" s="2" t="str">
        <x:v>NR</x:v>
      </x:c>
      <x:c r="Z226" s="2" t="str">
        <x:v>NR</x:v>
      </x:c>
      <x:c r="AA226" s="2" t="str">
        <x:v>No</x:v>
      </x:c>
      <x:c r="AB226" s="2" t="str">
        <x:v>No</x:v>
      </x:c>
      <x:c r="AC226" s="6" t="str">
        <x:v>p. 4; Section III.C</x:v>
      </x:c>
      <x:c r="AD226" s="6" t="str">
        <x:v>models were available: Llam-3.1-8B-Instruct and Llam-3.170B-Instruct. The smaller model, Llam-3.1-8B-Instruct, was chosen for this task as it operates faster. For the comparison,</x:v>
      </x:c>
    </x:row>
    <x:row r="227" ht="76" customHeight="1">
      <x:c r="A227" s="2" t="str">
        <x:v>S33</x:v>
      </x:c>
      <x:c r="B227" s="2" t="str">
        <x:v>2025</x:v>
      </x:c>
      <x:c r="C227" s="2" t="str">
        <x:v>Published</x:v>
      </x:c>
      <x:c r="D227" s="6" t="str">
        <x:v>Can we use LLMs to recover Trace Links between Source Code and Security Requirements?</x:v>
      </x:c>
      <x:c r="E227" s="2" t="str">
        <x:v>S33-MU02</x:v>
      </x:c>
      <x:c r="F227" s="2" t="str">
        <x:v>S33-O02</x:v>
      </x:c>
      <x:c r="G227" s="2" t="str">
        <x:v>S33-T01</x:v>
      </x:c>
      <x:c r="H227" s="2" t="str">
        <x:v>Llama 3.1-8B-Instruct</x:v>
      </x:c>
      <x:c r="I227" s="2" t="str">
        <x:v>Llama-3.1-8B-Instruct</x:v>
      </x:c>
      <x:c r="J227" s="2" t="str">
        <x:v>Llama</x:v>
      </x:c>
      <x:c r="K227" s="2" t="str">
        <x:v>Llama 3.1 8B Instruct</x:v>
      </x:c>
      <x:c r="L227" s="2" t="str">
        <x:v>Open weights</x:v>
      </x:c>
      <x:c r="M227" s="2" t="str">
        <x:v>Open weights</x:v>
      </x:c>
      <x:c r="N227" s="6" t="str">
        <x:v>Reported in extraction</x:v>
      </x:c>
      <x:c r="O227" s="2" t="str">
        <x:v>Yes</x:v>
      </x:c>
      <x:c r="P227" s="2" t="str"/>
      <x:c r="Q227" s="2" t="str">
        <x:v>Local</x:v>
      </x:c>
      <x:c r="R227" s="2" t="str">
        <x:v>Local cluster using Hugging Face library</x:v>
      </x:c>
      <x:c r="S227" s="2" t="str">
        <x:v>3.1</x:v>
      </x:c>
      <x:c r="T227" s="2" t="str">
        <x:v>8B</x:v>
      </x:c>
      <x:c r="U227" s="2" t="str">
        <x:v>NR</x:v>
      </x:c>
      <x:c r="V227" s="2" t="str">
        <x:v>Unclear</x:v>
      </x:c>
      <x:c r="W227" s="2" t="str">
        <x:v>NR</x:v>
      </x:c>
      <x:c r="X227" s="2" t="str">
        <x:v>NR</x:v>
      </x:c>
      <x:c r="Y227" s="2" t="str">
        <x:v>NR</x:v>
      </x:c>
      <x:c r="Z227" s="2" t="str">
        <x:v>NR</x:v>
      </x:c>
      <x:c r="AA227" s="2" t="str">
        <x:v>No</x:v>
      </x:c>
      <x:c r="AB227" s="2" t="str">
        <x:v>No</x:v>
      </x:c>
      <x:c r="AC227" s="6" t="str">
        <x:v>p. 5; Section IV.C</x:v>
      </x:c>
      <x:c r="AD227" s="6" t="str">
        <x:v>the LLM is given an analyzing task, the temperature of the models was set to a minimum to achieve the most deterministic</x:v>
      </x:c>
    </x:row>
    <x:row r="228" ht="76" customHeight="1">
      <x:c r="A228" s="2" t="str">
        <x:v>S12</x:v>
      </x:c>
      <x:c r="B228" s="2" t="str">
        <x:v>2026</x:v>
      </x:c>
      <x:c r="C228" s="2" t="str">
        <x:v>Published</x:v>
      </x:c>
      <x:c r="D228" s="6" t="str">
        <x:v>TraceLLM: Leveraging Large Language Models with Prompt Engineering for Enhanced Requirements Traceability</x:v>
      </x:c>
      <x:c r="E228" s="2" t="str">
        <x:v>S12-MU07</x:v>
      </x:c>
      <x:c r="F228" s="2" t="str">
        <x:v>S12-O01</x:v>
      </x:c>
      <x:c r="G228" s="2" t="str">
        <x:v>S12-T01</x:v>
      </x:c>
      <x:c r="H228" s="2" t="str">
        <x:v>Llama-3.1-8B-Instruct-Turbo</x:v>
      </x:c>
      <x:c r="I228" s="2" t="str">
        <x:v>Llama 3.1 8B Instruct Turbo</x:v>
      </x:c>
      <x:c r="J228" s="2" t="str">
        <x:v>Llama</x:v>
      </x:c>
      <x:c r="K228" s="2" t="str">
        <x:v>Llama 3.1 8B Instruct Turbo</x:v>
      </x:c>
      <x:c r="L228" s="2" t="str">
        <x:v>Open weights</x:v>
      </x:c>
      <x:c r="M228" s="2" t="str">
        <x:v>Open weights</x:v>
      </x:c>
      <x:c r="N228" s="6" t="str">
        <x:v>Reported in extraction</x:v>
      </x:c>
      <x:c r="O228" s="2" t="str">
        <x:v>Yes</x:v>
      </x:c>
      <x:c r="P228" s="2" t="str"/>
      <x:c r="Q228" s="2" t="str">
        <x:v>API</x:v>
      </x:c>
      <x:c r="R228" s="2" t="str">
        <x:v>OpenRouter</x:v>
      </x:c>
      <x:c r="S228" s="2" t="str">
        <x:v>Llama-3.1-8B-Instruct-Turbo</x:v>
      </x:c>
      <x:c r="T228" s="2" t="str">
        <x:v>8B</x:v>
      </x:c>
      <x:c r="U228" s="2" t="str">
        <x:v>NR</x:v>
      </x:c>
      <x:c r="V228" s="2" t="n">
        <x:v>0</x:v>
      </x:c>
      <x:c r="W228" s="2" t="str">
        <x:v>NR</x:v>
      </x:c>
      <x:c r="X228" s="2" t="str">
        <x:v>NR</x:v>
      </x:c>
      <x:c r="Y228" s="2" t="str">
        <x:v>NR</x:v>
      </x:c>
      <x:c r="Z228" s="2" t="str">
        <x:v>NR</x:v>
      </x:c>
      <x:c r="AA228" s="2" t="str">
        <x:v>Yes</x:v>
      </x:c>
      <x:c r="AB228" s="2" t="str">
        <x:v>No</x:v>
      </x:c>
      <x:c r="AC228" s="6" t="str">
        <x:v>p. 19; Section 5.4</x:v>
      </x:c>
      <x:c r="AD228"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row>
    <x:row r="229" ht="76" customHeight="1">
      <x:c r="A229" s="2" t="str">
        <x:v>S43</x:v>
      </x:c>
      <x:c r="B229" s="2" t="str">
        <x:v>2025</x:v>
      </x:c>
      <x:c r="C229" s="2" t="str">
        <x:v>Published</x:v>
      </x:c>
      <x:c r="D229" s="6" t="str">
        <x:v>HGTRTracer: Advancing Requirements-Code Traceability with LLM-Augmented Attribution Reasoning and Heterogeneous Graph Transformer</x:v>
      </x:c>
      <x:c r="E229" s="2" t="str">
        <x:v>S43-MU02</x:v>
      </x:c>
      <x:c r="F229" s="2" t="str">
        <x:v>S43-O01</x:v>
      </x:c>
      <x:c r="G229" s="2" t="str">
        <x:v>S43-T01</x:v>
      </x:c>
      <x:c r="H229" s="2" t="str">
        <x:v>llama 3.3</x:v>
      </x:c>
      <x:c r="I229" s="2" t="str">
        <x:v>Llama 3.3 8B Instruct</x:v>
      </x:c>
      <x:c r="J229" s="2" t="str">
        <x:v>Llama</x:v>
      </x:c>
      <x:c r="K229" s="2" t="str">
        <x:v>Llama 3.3 8B Instruct</x:v>
      </x:c>
      <x:c r="L229" s="2" t="str">
        <x:v>Open weights</x:v>
      </x:c>
      <x:c r="M229" s="2" t="str">
        <x:v>Open weights</x:v>
      </x:c>
      <x:c r="N229" s="6" t="str">
        <x:v>Reported in extraction</x:v>
      </x:c>
      <x:c r="O229" s="2" t="str">
        <x:v>Yes</x:v>
      </x:c>
      <x:c r="P229" s="2" t="str"/>
      <x:c r="Q229" s="2" t="str">
        <x:v>Unclear</x:v>
      </x:c>
      <x:c r="R229" s="2" t="str">
        <x:v>Unclear</x:v>
      </x:c>
      <x:c r="S229" s="2" t="str">
        <x:v>3.3</x:v>
      </x:c>
      <x:c r="T229" s="2" t="str">
        <x:v>8B</x:v>
      </x:c>
      <x:c r="U229" s="2" t="str">
        <x:v>Unclear</x:v>
      </x:c>
      <x:c r="V229" s="2" t="str">
        <x:v>NR</x:v>
      </x:c>
      <x:c r="W229" s="2" t="str">
        <x:v>NR</x:v>
      </x:c>
      <x:c r="X229" s="2" t="str">
        <x:v>NR</x:v>
      </x:c>
      <x:c r="Y229" s="2" t="str">
        <x:v>NR</x:v>
      </x:c>
      <x:c r="Z229" s="2" t="str">
        <x:v>NR</x:v>
      </x:c>
      <x:c r="AA229" s="2" t="str">
        <x:v>No</x:v>
      </x:c>
      <x:c r="AB229" s="2" t="str">
        <x:v>No</x:v>
      </x:c>
      <x:c r="AC229" s="6" t="str">
        <x:v>p. 8; Section V-A</x:v>
      </x:c>
      <x:c r="AD229" s="6" t="str">
        <x:v>the second-best model, Llama 3.3, which scored 0.58</x:v>
      </x:c>
    </x:row>
    <x:row r="230" ht="76" customHeight="1">
      <x:c r="A230" s="2" t="str">
        <x:v>S34</x:v>
      </x:c>
      <x:c r="B230" s="2" t="str">
        <x:v>2025</x:v>
      </x:c>
      <x:c r="C230" s="2" t="str">
        <x:v>Grey literature</x:v>
      </x:c>
      <x:c r="D230" s="6" t="str">
        <x:v>Behavioral Augmentation of UML Class Diagrams: An Empirical Study of Large Language Models for Method Generation</x:v>
      </x:c>
      <x:c r="E230" s="2" t="str">
        <x:v>S34-MU08</x:v>
      </x:c>
      <x:c r="F230" s="2" t="str">
        <x:v>S34-O01</x:v>
      </x:c>
      <x:c r="G230" s="2" t="str">
        <x:v>S34-T01</x:v>
      </x:c>
      <x:c r="H230" s="2" t="str">
        <x:v>Llama 4</x:v>
      </x:c>
      <x:c r="I230" s="2" t="str">
        <x:v>Meta Llama 4 Maverick</x:v>
      </x:c>
      <x:c r="J230" s="2" t="str">
        <x:v>Llama</x:v>
      </x:c>
      <x:c r="K230" s="2" t="str">
        <x:v>Llama 4 Maverick</x:v>
      </x:c>
      <x:c r="L230" s="2" t="str">
        <x:v>Open weights</x:v>
      </x:c>
      <x:c r="M230" s="2" t="str">
        <x:v>Open weights</x:v>
      </x:c>
      <x:c r="N230" s="6" t="str">
        <x:v>Reported in extraction</x:v>
      </x:c>
      <x:c r="O230" s="2" t="str">
        <x:v>Yes</x:v>
      </x:c>
      <x:c r="P230" s="2" t="str"/>
      <x:c r="Q230" s="2" t="str">
        <x:v>NR</x:v>
      </x:c>
      <x:c r="R230" s="2" t="str">
        <x:v>NR</x:v>
      </x:c>
      <x:c r="S230" s="2" t="str">
        <x:v>4 Maverick</x:v>
      </x:c>
      <x:c r="T230" s="2" t="str">
        <x:v>NR</x:v>
      </x:c>
      <x:c r="U230" s="2" t="str">
        <x:v>NR</x:v>
      </x:c>
      <x:c r="V230" s="2" t="str">
        <x:v>NR</x:v>
      </x:c>
      <x:c r="W230" s="2" t="str">
        <x:v>NR</x:v>
      </x:c>
      <x:c r="X230" s="2" t="n">
        <x:v>10</x:v>
      </x:c>
      <x:c r="Y230" s="2" t="str">
        <x:v>1M-10M tokens</x:v>
      </x:c>
      <x:c r="Z230" s="2" t="str">
        <x:v>NR</x:v>
      </x:c>
      <x:c r="AA230" s="2" t="str">
        <x:v>No</x:v>
      </x:c>
      <x:c r="AB230" s="2" t="str">
        <x:v>Yes</x:v>
      </x:c>
      <x:c r="AC230" s="6" t="str">
        <x:v>Section 3.3; Appendix B, Table 7; author repository snapshot 2025-06-01; Meta Llama 4 release materials</x:v>
      </x:c>
      <x:c r="AD230" s="6" t="str">
        <x:v>Llama 4</x:v>
      </x:c>
    </x:row>
    <x:row r="231" ht="76" customHeight="1">
      <x:c r="A231" s="2" t="str">
        <x:v>S46</x:v>
      </x:c>
      <x:c r="B231" s="2" t="str">
        <x:v>2025</x:v>
      </x:c>
      <x:c r="C231" s="2" t="str">
        <x:v>Published</x:v>
      </x:c>
      <x:c r="D231" s="6" t="str">
        <x:v>Improving software development traceability with structured prompting</x:v>
      </x:c>
      <x:c r="E231" s="2" t="str">
        <x:v>S46-MU01</x:v>
      </x:c>
      <x:c r="F231" s="2" t="str">
        <x:v>S46-O01</x:v>
      </x:c>
      <x:c r="G231" s="2" t="str">
        <x:v>S46-T01</x:v>
      </x:c>
      <x:c r="H231" s="2" t="str">
        <x:v>Meta (based on Meta Llama 3)</x:v>
      </x:c>
      <x:c r="I231" s="2" t="str">
        <x:v>Meta AI (Llama 3-based)</x:v>
      </x:c>
      <x:c r="J231" s="2" t="str">
        <x:v>Llama</x:v>
      </x:c>
      <x:c r="K231" s="2" t="str">
        <x:v>Meta AI (Llama 3-based)</x:v>
      </x:c>
      <x:c r="L231" s="2" t="str">
        <x:v>Open weights</x:v>
      </x:c>
      <x:c r="M231" s="2" t="str">
        <x:v>Open weights</x:v>
      </x:c>
      <x:c r="N231" s="6" t="str">
        <x:v>Reported in extraction</x:v>
      </x:c>
      <x:c r="O231" s="2" t="str">
        <x:v>Yes</x:v>
      </x:c>
      <x:c r="P231" s="2" t="str"/>
      <x:c r="Q231" s="2" t="str">
        <x:v>NR</x:v>
      </x:c>
      <x:c r="R231" s="2" t="str">
        <x:v>Meta AI service</x:v>
      </x:c>
      <x:c r="S231" s="2" t="str">
        <x:v>Llama 3-based service</x:v>
      </x:c>
      <x:c r="T231" s="2" t="str">
        <x:v>NR</x:v>
      </x:c>
      <x:c r="U231" s="2" t="str">
        <x:v>2024-05</x:v>
      </x:c>
      <x:c r="V231" s="2" t="str">
        <x:v>NR</x:v>
      </x:c>
      <x:c r="W231" s="2" t="str">
        <x:v>NR</x:v>
      </x:c>
      <x:c r="X231" s="2" t="str">
        <x:v>NR</x:v>
      </x:c>
      <x:c r="Y231" s="2" t="str">
        <x:v>NR</x:v>
      </x:c>
      <x:c r="Z231" s="2" t="str">
        <x:v>NR</x:v>
      </x:c>
      <x:c r="AA231" s="2" t="str">
        <x:v>No</x:v>
      </x:c>
      <x:c r="AB231" s="2" t="str">
        <x:v>No</x:v>
      </x:c>
      <x:c r="AC231" s="6" t="str">
        <x:v>p. 9; Evaluation section</x:v>
      </x:c>
      <x:c r="AD231" s="6" t="str">
        <x:v>We utilize five prominent AI models—Meta (based on tured prompting, and two to three times more with Meta Llama 3),5 Gemini (no version information structured prompting. Despite Claude and ChatGPT</x:v>
      </x:c>
    </x:row>
    <x:row r="232" ht="76" customHeight="1">
      <x:c r="A232" s="2" t="str">
        <x:v>S46</x:v>
      </x:c>
      <x:c r="B232" s="2" t="str">
        <x:v>2025</x:v>
      </x:c>
      <x:c r="C232" s="2" t="str">
        <x:v>Published</x:v>
      </x:c>
      <x:c r="D232" s="6" t="str">
        <x:v>Improving software development traceability with structured prompting</x:v>
      </x:c>
      <x:c r="E232" s="2" t="str">
        <x:v>S46-MU02</x:v>
      </x:c>
      <x:c r="F232" s="2" t="str">
        <x:v>S46-O02</x:v>
      </x:c>
      <x:c r="G232" s="2" t="str">
        <x:v>S46-T02</x:v>
      </x:c>
      <x:c r="H232" s="2" t="str">
        <x:v>Meta (based on Meta Llama 3)</x:v>
      </x:c>
      <x:c r="I232" s="2" t="str">
        <x:v>Meta AI (Llama 3-based)</x:v>
      </x:c>
      <x:c r="J232" s="2" t="str">
        <x:v>Llama</x:v>
      </x:c>
      <x:c r="K232" s="2" t="str">
        <x:v>Meta AI (Llama 3-based)</x:v>
      </x:c>
      <x:c r="L232" s="2" t="str">
        <x:v>Open weights</x:v>
      </x:c>
      <x:c r="M232" s="2" t="str">
        <x:v>Open weights</x:v>
      </x:c>
      <x:c r="N232" s="6" t="str">
        <x:v>Reported in extraction</x:v>
      </x:c>
      <x:c r="O232" s="2" t="str">
        <x:v>Yes</x:v>
      </x:c>
      <x:c r="P232" s="2" t="str"/>
      <x:c r="Q232" s="2" t="str">
        <x:v>NR</x:v>
      </x:c>
      <x:c r="R232" s="2" t="str">
        <x:v>Meta AI service</x:v>
      </x:c>
      <x:c r="S232" s="2" t="str">
        <x:v>Llama 3-based service</x:v>
      </x:c>
      <x:c r="T232" s="2" t="str">
        <x:v>NR</x:v>
      </x:c>
      <x:c r="U232" s="2" t="str">
        <x:v>2024-05</x:v>
      </x:c>
      <x:c r="V232" s="2" t="str">
        <x:v>NR</x:v>
      </x:c>
      <x:c r="W232" s="2" t="str">
        <x:v>NR</x:v>
      </x:c>
      <x:c r="X232" s="2" t="str">
        <x:v>NR</x:v>
      </x:c>
      <x:c r="Y232" s="2" t="str">
        <x:v>NR</x:v>
      </x:c>
      <x:c r="Z232" s="2" t="str">
        <x:v>NR</x:v>
      </x:c>
      <x:c r="AA232" s="2" t="str">
        <x:v>No</x:v>
      </x:c>
      <x:c r="AB232" s="2" t="str">
        <x:v>No</x:v>
      </x:c>
      <x:c r="AC232" s="6" t="str">
        <x:v>p. 9; Evaluation section</x:v>
      </x:c>
      <x:c r="AD232" s="6" t="str">
        <x:v>We utilize five prominent AI models—Meta (based on tured prompting, and two to three times more with Meta Llama 3),5 Gemini (no version information structured prompting. Despite Claude and ChatGPT</x:v>
      </x:c>
    </x:row>
    <x:row r="233" ht="76" customHeight="1">
      <x:c r="A233" s="2" t="str">
        <x:v>S46</x:v>
      </x:c>
      <x:c r="B233" s="2" t="str">
        <x:v>2025</x:v>
      </x:c>
      <x:c r="C233" s="2" t="str">
        <x:v>Published</x:v>
      </x:c>
      <x:c r="D233" s="6" t="str">
        <x:v>Improving software development traceability with structured prompting</x:v>
      </x:c>
      <x:c r="E233" s="2" t="str">
        <x:v>S46-MU03</x:v>
      </x:c>
      <x:c r="F233" s="2" t="str">
        <x:v>S46-O03</x:v>
      </x:c>
      <x:c r="G233" s="2" t="str">
        <x:v>S46-T03</x:v>
      </x:c>
      <x:c r="H233" s="2" t="str">
        <x:v>Meta (based on Meta Llama 3)</x:v>
      </x:c>
      <x:c r="I233" s="2" t="str">
        <x:v>Meta AI (Llama 3-based)</x:v>
      </x:c>
      <x:c r="J233" s="2" t="str">
        <x:v>Llama</x:v>
      </x:c>
      <x:c r="K233" s="2" t="str">
        <x:v>Meta AI (Llama 3-based)</x:v>
      </x:c>
      <x:c r="L233" s="2" t="str">
        <x:v>Open weights</x:v>
      </x:c>
      <x:c r="M233" s="2" t="str">
        <x:v>Open weights</x:v>
      </x:c>
      <x:c r="N233" s="6" t="str">
        <x:v>Reported in extraction</x:v>
      </x:c>
      <x:c r="O233" s="2" t="str">
        <x:v>Yes</x:v>
      </x:c>
      <x:c r="P233" s="2" t="str"/>
      <x:c r="Q233" s="2" t="str">
        <x:v>NR</x:v>
      </x:c>
      <x:c r="R233" s="2" t="str">
        <x:v>Meta AI service</x:v>
      </x:c>
      <x:c r="S233" s="2" t="str">
        <x:v>Llama 3-based service</x:v>
      </x:c>
      <x:c r="T233" s="2" t="str">
        <x:v>NR</x:v>
      </x:c>
      <x:c r="U233" s="2" t="str">
        <x:v>2024-05</x:v>
      </x:c>
      <x:c r="V233" s="2" t="str">
        <x:v>NR</x:v>
      </x:c>
      <x:c r="W233" s="2" t="str">
        <x:v>NR</x:v>
      </x:c>
      <x:c r="X233" s="2" t="str">
        <x:v>NR</x:v>
      </x:c>
      <x:c r="Y233" s="2" t="str">
        <x:v>NR</x:v>
      </x:c>
      <x:c r="Z233" s="2" t="str">
        <x:v>NR</x:v>
      </x:c>
      <x:c r="AA233" s="2" t="str">
        <x:v>No</x:v>
      </x:c>
      <x:c r="AB233" s="2" t="str">
        <x:v>No</x:v>
      </x:c>
      <x:c r="AC233" s="6" t="str">
        <x:v>p. 9; Evaluation section</x:v>
      </x:c>
      <x:c r="AD233" s="6" t="str">
        <x:v>We utilize five prominent AI models—Meta (based on tured prompting, and two to three times more with Meta Llama 3),5 Gemini (no version information structured prompting. Despite Claude and ChatGPT</x:v>
      </x:c>
    </x:row>
    <x:row r="234" ht="76" customHeight="1">
      <x:c r="A234" s="2" t="str">
        <x:v>S46</x:v>
      </x:c>
      <x:c r="B234" s="2" t="str">
        <x:v>2025</x:v>
      </x:c>
      <x:c r="C234" s="2" t="str">
        <x:v>Published</x:v>
      </x:c>
      <x:c r="D234" s="6" t="str">
        <x:v>Improving software development traceability with structured prompting</x:v>
      </x:c>
      <x:c r="E234" s="2" t="str">
        <x:v>S46-MU04</x:v>
      </x:c>
      <x:c r="F234" s="2" t="str">
        <x:v>S46-O04</x:v>
      </x:c>
      <x:c r="G234" s="2" t="str">
        <x:v>S46-T04</x:v>
      </x:c>
      <x:c r="H234" s="2" t="str">
        <x:v>Meta (based on Meta Llama 3)</x:v>
      </x:c>
      <x:c r="I234" s="2" t="str">
        <x:v>Meta AI (Llama 3-based)</x:v>
      </x:c>
      <x:c r="J234" s="2" t="str">
        <x:v>Llama</x:v>
      </x:c>
      <x:c r="K234" s="2" t="str">
        <x:v>Meta AI (Llama 3-based)</x:v>
      </x:c>
      <x:c r="L234" s="2" t="str">
        <x:v>Open weights</x:v>
      </x:c>
      <x:c r="M234" s="2" t="str">
        <x:v>Open weights</x:v>
      </x:c>
      <x:c r="N234" s="6" t="str">
        <x:v>Reported in extraction</x:v>
      </x:c>
      <x:c r="O234" s="2" t="str">
        <x:v>Yes</x:v>
      </x:c>
      <x:c r="P234" s="2" t="str"/>
      <x:c r="Q234" s="2" t="str">
        <x:v>NR</x:v>
      </x:c>
      <x:c r="R234" s="2" t="str">
        <x:v>Meta AI service</x:v>
      </x:c>
      <x:c r="S234" s="2" t="str">
        <x:v>Llama 3-based service</x:v>
      </x:c>
      <x:c r="T234" s="2" t="str">
        <x:v>NR</x:v>
      </x:c>
      <x:c r="U234" s="2" t="str">
        <x:v>2024-05</x:v>
      </x:c>
      <x:c r="V234" s="2" t="str">
        <x:v>NR</x:v>
      </x:c>
      <x:c r="W234" s="2" t="str">
        <x:v>NR</x:v>
      </x:c>
      <x:c r="X234" s="2" t="str">
        <x:v>NR</x:v>
      </x:c>
      <x:c r="Y234" s="2" t="str">
        <x:v>NR</x:v>
      </x:c>
      <x:c r="Z234" s="2" t="str">
        <x:v>NR</x:v>
      </x:c>
      <x:c r="AA234" s="2" t="str">
        <x:v>No</x:v>
      </x:c>
      <x:c r="AB234" s="2" t="str">
        <x:v>No</x:v>
      </x:c>
      <x:c r="AC234" s="6" t="str">
        <x:v>p. 9; Evaluation section</x:v>
      </x:c>
      <x:c r="AD234" s="6" t="str">
        <x:v>We utilize five prominent AI models—Meta (based on tured prompting, and two to three times more with Meta Llama 3),5 Gemini (no version information structured prompting. Despite Claude and ChatGPT</x:v>
      </x:c>
    </x:row>
    <x:row r="235" ht="76" customHeight="1">
      <x:c r="A235" s="2" t="str">
        <x:v>S46</x:v>
      </x:c>
      <x:c r="B235" s="2" t="str">
        <x:v>2025</x:v>
      </x:c>
      <x:c r="C235" s="2" t="str">
        <x:v>Published</x:v>
      </x:c>
      <x:c r="D235" s="6" t="str">
        <x:v>Improving software development traceability with structured prompting</x:v>
      </x:c>
      <x:c r="E235" s="2" t="str">
        <x:v>S46-MU05</x:v>
      </x:c>
      <x:c r="F235" s="2" t="str">
        <x:v>S46-O05</x:v>
      </x:c>
      <x:c r="G235" s="2" t="str">
        <x:v>S46-T05</x:v>
      </x:c>
      <x:c r="H235" s="2" t="str">
        <x:v>Meta (based on Meta Llama 3)</x:v>
      </x:c>
      <x:c r="I235" s="2" t="str">
        <x:v>Meta AI (Llama 3-based)</x:v>
      </x:c>
      <x:c r="J235" s="2" t="str">
        <x:v>Llama</x:v>
      </x:c>
      <x:c r="K235" s="2" t="str">
        <x:v>Meta AI (Llama 3-based)</x:v>
      </x:c>
      <x:c r="L235" s="2" t="str">
        <x:v>Open weights</x:v>
      </x:c>
      <x:c r="M235" s="2" t="str">
        <x:v>Open weights</x:v>
      </x:c>
      <x:c r="N235" s="6" t="str">
        <x:v>Reported in extraction</x:v>
      </x:c>
      <x:c r="O235" s="2" t="str">
        <x:v>Yes</x:v>
      </x:c>
      <x:c r="P235" s="2" t="str"/>
      <x:c r="Q235" s="2" t="str">
        <x:v>NR</x:v>
      </x:c>
      <x:c r="R235" s="2" t="str">
        <x:v>Meta AI service</x:v>
      </x:c>
      <x:c r="S235" s="2" t="str">
        <x:v>Llama 3-based service</x:v>
      </x:c>
      <x:c r="T235" s="2" t="str">
        <x:v>NR</x:v>
      </x:c>
      <x:c r="U235" s="2" t="str">
        <x:v>2024-05</x:v>
      </x:c>
      <x:c r="V235" s="2" t="str">
        <x:v>NR</x:v>
      </x:c>
      <x:c r="W235" s="2" t="str">
        <x:v>NR</x:v>
      </x:c>
      <x:c r="X235" s="2" t="str">
        <x:v>NR</x:v>
      </x:c>
      <x:c r="Y235" s="2" t="str">
        <x:v>NR</x:v>
      </x:c>
      <x:c r="Z235" s="2" t="str">
        <x:v>NR</x:v>
      </x:c>
      <x:c r="AA235" s="2" t="str">
        <x:v>No</x:v>
      </x:c>
      <x:c r="AB235" s="2" t="str">
        <x:v>No</x:v>
      </x:c>
      <x:c r="AC235" s="6" t="str">
        <x:v>p. 9; Evaluation section</x:v>
      </x:c>
      <x:c r="AD235" s="6" t="str">
        <x:v>We utilize five prominent AI models—Meta (based on tured prompting, and two to three times more with Meta Llama 3),5 Gemini (no version information structured prompting. Despite Claude and ChatGPT</x:v>
      </x:c>
    </x:row>
    <x:row r="236" ht="76" customHeight="1">
      <x:c r="A236" s="2" t="str">
        <x:v>S46</x:v>
      </x:c>
      <x:c r="B236" s="2" t="str">
        <x:v>2025</x:v>
      </x:c>
      <x:c r="C236" s="2" t="str">
        <x:v>Published</x:v>
      </x:c>
      <x:c r="D236" s="6" t="str">
        <x:v>Improving software development traceability with structured prompting</x:v>
      </x:c>
      <x:c r="E236" s="2" t="str">
        <x:v>S46-MU06</x:v>
      </x:c>
      <x:c r="F236" s="2" t="str">
        <x:v>S46-O06</x:v>
      </x:c>
      <x:c r="G236" s="2" t="str">
        <x:v>S46-T06</x:v>
      </x:c>
      <x:c r="H236" s="2" t="str">
        <x:v>Meta (based on Meta Llama 3)</x:v>
      </x:c>
      <x:c r="I236" s="2" t="str">
        <x:v>Meta AI (Llama 3-based)</x:v>
      </x:c>
      <x:c r="J236" s="2" t="str">
        <x:v>Llama</x:v>
      </x:c>
      <x:c r="K236" s="2" t="str">
        <x:v>Meta AI (Llama 3-based)</x:v>
      </x:c>
      <x:c r="L236" s="2" t="str">
        <x:v>Open weights</x:v>
      </x:c>
      <x:c r="M236" s="2" t="str">
        <x:v>Open weights</x:v>
      </x:c>
      <x:c r="N236" s="6" t="str">
        <x:v>Reported in extraction</x:v>
      </x:c>
      <x:c r="O236" s="2" t="str">
        <x:v>Yes</x:v>
      </x:c>
      <x:c r="P236" s="2" t="str"/>
      <x:c r="Q236" s="2" t="str">
        <x:v>NR</x:v>
      </x:c>
      <x:c r="R236" s="2" t="str">
        <x:v>Meta AI service</x:v>
      </x:c>
      <x:c r="S236" s="2" t="str">
        <x:v>Llama 3-based service</x:v>
      </x:c>
      <x:c r="T236" s="2" t="str">
        <x:v>NR</x:v>
      </x:c>
      <x:c r="U236" s="2" t="str">
        <x:v>2024-05</x:v>
      </x:c>
      <x:c r="V236" s="2" t="str">
        <x:v>NR</x:v>
      </x:c>
      <x:c r="W236" s="2" t="str">
        <x:v>NR</x:v>
      </x:c>
      <x:c r="X236" s="2" t="str">
        <x:v>NR</x:v>
      </x:c>
      <x:c r="Y236" s="2" t="str">
        <x:v>NR</x:v>
      </x:c>
      <x:c r="Z236" s="2" t="str">
        <x:v>NR</x:v>
      </x:c>
      <x:c r="AA236" s="2" t="str">
        <x:v>No</x:v>
      </x:c>
      <x:c r="AB236" s="2" t="str">
        <x:v>No</x:v>
      </x:c>
      <x:c r="AC236" s="6" t="str">
        <x:v>p. 9; Evaluation section</x:v>
      </x:c>
      <x:c r="AD236" s="6" t="str">
        <x:v>We utilize five prominent AI models—Meta (based on tured prompting, and two to three times more with Meta Llama 3),5 Gemini (no version information structured prompting. Despite Claude and ChatGPT</x:v>
      </x:c>
    </x:row>
    <x:row r="237" ht="76" customHeight="1">
      <x:c r="A237" s="2" t="str">
        <x:v>S46</x:v>
      </x:c>
      <x:c r="B237" s="2" t="str">
        <x:v>2025</x:v>
      </x:c>
      <x:c r="C237" s="2" t="str">
        <x:v>Published</x:v>
      </x:c>
      <x:c r="D237" s="6" t="str">
        <x:v>Improving software development traceability with structured prompting</x:v>
      </x:c>
      <x:c r="E237" s="2" t="str">
        <x:v>S46-MU07</x:v>
      </x:c>
      <x:c r="F237" s="2" t="str">
        <x:v>S46-O07</x:v>
      </x:c>
      <x:c r="G237" s="2" t="str">
        <x:v>S46-T07</x:v>
      </x:c>
      <x:c r="H237" s="2" t="str">
        <x:v>Meta (based on Meta Llama 3)</x:v>
      </x:c>
      <x:c r="I237" s="2" t="str">
        <x:v>Meta AI (Llama 3-based)</x:v>
      </x:c>
      <x:c r="J237" s="2" t="str">
        <x:v>Llama</x:v>
      </x:c>
      <x:c r="K237" s="2" t="str">
        <x:v>Meta AI (Llama 3-based)</x:v>
      </x:c>
      <x:c r="L237" s="2" t="str">
        <x:v>Open weights</x:v>
      </x:c>
      <x:c r="M237" s="2" t="str">
        <x:v>Open weights</x:v>
      </x:c>
      <x:c r="N237" s="6" t="str">
        <x:v>Reported in extraction</x:v>
      </x:c>
      <x:c r="O237" s="2" t="str">
        <x:v>Yes</x:v>
      </x:c>
      <x:c r="P237" s="2" t="str"/>
      <x:c r="Q237" s="2" t="str">
        <x:v>NR</x:v>
      </x:c>
      <x:c r="R237" s="2" t="str">
        <x:v>Meta AI service</x:v>
      </x:c>
      <x:c r="S237" s="2" t="str">
        <x:v>Llama 3-based service</x:v>
      </x:c>
      <x:c r="T237" s="2" t="str">
        <x:v>NR</x:v>
      </x:c>
      <x:c r="U237" s="2" t="str">
        <x:v>2024-05</x:v>
      </x:c>
      <x:c r="V237" s="2" t="str">
        <x:v>NR</x:v>
      </x:c>
      <x:c r="W237" s="2" t="str">
        <x:v>NR</x:v>
      </x:c>
      <x:c r="X237" s="2" t="str">
        <x:v>NR</x:v>
      </x:c>
      <x:c r="Y237" s="2" t="str">
        <x:v>NR</x:v>
      </x:c>
      <x:c r="Z237" s="2" t="str">
        <x:v>NR</x:v>
      </x:c>
      <x:c r="AA237" s="2" t="str">
        <x:v>No</x:v>
      </x:c>
      <x:c r="AB237" s="2" t="str">
        <x:v>No</x:v>
      </x:c>
      <x:c r="AC237" s="6" t="str">
        <x:v>p. 9; Evaluation section</x:v>
      </x:c>
      <x:c r="AD237" s="6" t="str">
        <x:v>We utilize five prominent AI models—Meta (based on tured prompting, and two to three times more with Meta Llama 3),5 Gemini (no version information structured prompting. Despite Claude and ChatGPT</x:v>
      </x:c>
    </x:row>
    <x:row r="238" ht="76" customHeight="1">
      <x:c r="A238" s="2" t="str">
        <x:v>S46</x:v>
      </x:c>
      <x:c r="B238" s="2" t="str">
        <x:v>2025</x:v>
      </x:c>
      <x:c r="C238" s="2" t="str">
        <x:v>Published</x:v>
      </x:c>
      <x:c r="D238" s="6" t="str">
        <x:v>Improving software development traceability with structured prompting</x:v>
      </x:c>
      <x:c r="E238" s="2" t="str">
        <x:v>S46-MU08</x:v>
      </x:c>
      <x:c r="F238" s="2" t="str">
        <x:v>S46-O08</x:v>
      </x:c>
      <x:c r="G238" s="2" t="str">
        <x:v>S46-T08</x:v>
      </x:c>
      <x:c r="H238" s="2" t="str">
        <x:v>Meta (based on Meta Llama 3)</x:v>
      </x:c>
      <x:c r="I238" s="2" t="str">
        <x:v>Meta AI (Llama 3-based)</x:v>
      </x:c>
      <x:c r="J238" s="2" t="str">
        <x:v>Llama</x:v>
      </x:c>
      <x:c r="K238" s="2" t="str">
        <x:v>Meta AI (Llama 3-based)</x:v>
      </x:c>
      <x:c r="L238" s="2" t="str">
        <x:v>Open weights</x:v>
      </x:c>
      <x:c r="M238" s="2" t="str">
        <x:v>Open weights</x:v>
      </x:c>
      <x:c r="N238" s="6" t="str">
        <x:v>Reported in extraction</x:v>
      </x:c>
      <x:c r="O238" s="2" t="str">
        <x:v>Yes</x:v>
      </x:c>
      <x:c r="P238" s="2" t="str"/>
      <x:c r="Q238" s="2" t="str">
        <x:v>NR</x:v>
      </x:c>
      <x:c r="R238" s="2" t="str">
        <x:v>Meta AI service</x:v>
      </x:c>
      <x:c r="S238" s="2" t="str">
        <x:v>Llama 3-based service</x:v>
      </x:c>
      <x:c r="T238" s="2" t="str">
        <x:v>NR</x:v>
      </x:c>
      <x:c r="U238" s="2" t="str">
        <x:v>2024-05</x:v>
      </x:c>
      <x:c r="V238" s="2" t="str">
        <x:v>NR</x:v>
      </x:c>
      <x:c r="W238" s="2" t="str">
        <x:v>NR</x:v>
      </x:c>
      <x:c r="X238" s="2" t="str">
        <x:v>NR</x:v>
      </x:c>
      <x:c r="Y238" s="2" t="str">
        <x:v>NR</x:v>
      </x:c>
      <x:c r="Z238" s="2" t="str">
        <x:v>NR</x:v>
      </x:c>
      <x:c r="AA238" s="2" t="str">
        <x:v>No</x:v>
      </x:c>
      <x:c r="AB238" s="2" t="str">
        <x:v>No</x:v>
      </x:c>
      <x:c r="AC238" s="6" t="str">
        <x:v>p. 9; Evaluation section</x:v>
      </x:c>
      <x:c r="AD238" s="6" t="str">
        <x:v>We utilize five prominent AI models—Meta (based on tured prompting, and two to three times more with Meta Llama 3),5 Gemini (no version information structured prompting. Despite Claude and ChatGPT</x:v>
      </x:c>
    </x:row>
    <x:row r="239" ht="76" customHeight="1">
      <x:c r="A239" s="2" t="str">
        <x:v>S46</x:v>
      </x:c>
      <x:c r="B239" s="2" t="str">
        <x:v>2025</x:v>
      </x:c>
      <x:c r="C239" s="2" t="str">
        <x:v>Published</x:v>
      </x:c>
      <x:c r="D239" s="6" t="str">
        <x:v>Improving software development traceability with structured prompting</x:v>
      </x:c>
      <x:c r="E239" s="2" t="str">
        <x:v>S46-MU09</x:v>
      </x:c>
      <x:c r="F239" s="2" t="str">
        <x:v>S46-O09</x:v>
      </x:c>
      <x:c r="G239" s="2" t="str">
        <x:v>S46-T09</x:v>
      </x:c>
      <x:c r="H239" s="2" t="str">
        <x:v>Meta (based on Meta Llama 3)</x:v>
      </x:c>
      <x:c r="I239" s="2" t="str">
        <x:v>Meta AI (Llama 3-based)</x:v>
      </x:c>
      <x:c r="J239" s="2" t="str">
        <x:v>Llama</x:v>
      </x:c>
      <x:c r="K239" s="2" t="str">
        <x:v>Meta AI (Llama 3-based)</x:v>
      </x:c>
      <x:c r="L239" s="2" t="str">
        <x:v>Open weights</x:v>
      </x:c>
      <x:c r="M239" s="2" t="str">
        <x:v>Open weights</x:v>
      </x:c>
      <x:c r="N239" s="6" t="str">
        <x:v>Reported in extraction</x:v>
      </x:c>
      <x:c r="O239" s="2" t="str">
        <x:v>Yes</x:v>
      </x:c>
      <x:c r="P239" s="2" t="str"/>
      <x:c r="Q239" s="2" t="str">
        <x:v>NR</x:v>
      </x:c>
      <x:c r="R239" s="2" t="str">
        <x:v>Meta AI service</x:v>
      </x:c>
      <x:c r="S239" s="2" t="str">
        <x:v>Llama 3-based service</x:v>
      </x:c>
      <x:c r="T239" s="2" t="str">
        <x:v>NR</x:v>
      </x:c>
      <x:c r="U239" s="2" t="str">
        <x:v>2024-05</x:v>
      </x:c>
      <x:c r="V239" s="2" t="str">
        <x:v>NR</x:v>
      </x:c>
      <x:c r="W239" s="2" t="str">
        <x:v>NR</x:v>
      </x:c>
      <x:c r="X239" s="2" t="str">
        <x:v>NR</x:v>
      </x:c>
      <x:c r="Y239" s="2" t="str">
        <x:v>NR</x:v>
      </x:c>
      <x:c r="Z239" s="2" t="str">
        <x:v>NR</x:v>
      </x:c>
      <x:c r="AA239" s="2" t="str">
        <x:v>No</x:v>
      </x:c>
      <x:c r="AB239" s="2" t="str">
        <x:v>No</x:v>
      </x:c>
      <x:c r="AC239" s="6" t="str">
        <x:v>p. 9; Evaluation section</x:v>
      </x:c>
      <x:c r="AD239" s="6" t="str">
        <x:v>We utilize five prominent AI models—Meta (based on tured prompting, and two to three times more with Meta Llama 3),5 Gemini (no version information structured prompting. Despite Claude and ChatGPT</x:v>
      </x:c>
    </x:row>
    <x:row r="240" ht="76" customHeight="1">
      <x:c r="A240" s="2" t="str">
        <x:v>S46</x:v>
      </x:c>
      <x:c r="B240" s="2" t="str">
        <x:v>2025</x:v>
      </x:c>
      <x:c r="C240" s="2" t="str">
        <x:v>Published</x:v>
      </x:c>
      <x:c r="D240" s="6" t="str">
        <x:v>Improving software development traceability with structured prompting</x:v>
      </x:c>
      <x:c r="E240" s="2" t="str">
        <x:v>S46-MU10</x:v>
      </x:c>
      <x:c r="F240" s="2" t="str">
        <x:v>S46-O10</x:v>
      </x:c>
      <x:c r="G240" s="2" t="str">
        <x:v>S46-T10</x:v>
      </x:c>
      <x:c r="H240" s="2" t="str">
        <x:v>Meta (based on Meta Llama 3)</x:v>
      </x:c>
      <x:c r="I240" s="2" t="str">
        <x:v>Meta AI (Llama 3-based)</x:v>
      </x:c>
      <x:c r="J240" s="2" t="str">
        <x:v>Llama</x:v>
      </x:c>
      <x:c r="K240" s="2" t="str">
        <x:v>Meta AI (Llama 3-based)</x:v>
      </x:c>
      <x:c r="L240" s="2" t="str">
        <x:v>Open weights</x:v>
      </x:c>
      <x:c r="M240" s="2" t="str">
        <x:v>Open weights</x:v>
      </x:c>
      <x:c r="N240" s="6" t="str">
        <x:v>Reported in extraction</x:v>
      </x:c>
      <x:c r="O240" s="2" t="str">
        <x:v>Yes</x:v>
      </x:c>
      <x:c r="P240" s="2" t="str"/>
      <x:c r="Q240" s="2" t="str">
        <x:v>NR</x:v>
      </x:c>
      <x:c r="R240" s="2" t="str">
        <x:v>Meta AI service</x:v>
      </x:c>
      <x:c r="S240" s="2" t="str">
        <x:v>Llama 3-based service</x:v>
      </x:c>
      <x:c r="T240" s="2" t="str">
        <x:v>NR</x:v>
      </x:c>
      <x:c r="U240" s="2" t="str">
        <x:v>2024-05</x:v>
      </x:c>
      <x:c r="V240" s="2" t="str">
        <x:v>NR</x:v>
      </x:c>
      <x:c r="W240" s="2" t="str">
        <x:v>NR</x:v>
      </x:c>
      <x:c r="X240" s="2" t="str">
        <x:v>NR</x:v>
      </x:c>
      <x:c r="Y240" s="2" t="str">
        <x:v>NR</x:v>
      </x:c>
      <x:c r="Z240" s="2" t="str">
        <x:v>NR</x:v>
      </x:c>
      <x:c r="AA240" s="2" t="str">
        <x:v>No</x:v>
      </x:c>
      <x:c r="AB240" s="2" t="str">
        <x:v>No</x:v>
      </x:c>
      <x:c r="AC240" s="6" t="str">
        <x:v>p. 9; Evaluation section</x:v>
      </x:c>
      <x:c r="AD240" s="6" t="str">
        <x:v>We utilize five prominent AI models—Meta (based on tured prompting, and two to three times more with Meta Llama 3),5 Gemini (no version information structured prompting. Despite Claude and ChatGPT</x:v>
      </x:c>
    </x:row>
    <x:row r="241" ht="76" customHeight="1">
      <x:c r="A241" s="2" t="str">
        <x:v>S28</x:v>
      </x:c>
      <x:c r="B241" s="2" t="str">
        <x:v>2025</x:v>
      </x:c>
      <x:c r="C241" s="2" t="str">
        <x:v>Published</x:v>
      </x:c>
      <x:c r="D241" s="6" t="str">
        <x:v>Establishing Traceability Between Natural Language Requirements and Software Artifacts by Combining RAG and LLMs</x:v>
      </x:c>
      <x:c r="E241" s="2" t="str">
        <x:v>S28-MU01</x:v>
      </x:c>
      <x:c r="F241" s="2" t="str">
        <x:v>S28-O01</x:v>
      </x:c>
      <x:c r="G241" s="2" t="str">
        <x:v>S28-T02</x:v>
      </x:c>
      <x:c r="H241" s="2" t="str">
        <x:v>Llama 3</x:v>
      </x:c>
      <x:c r="I241" s="2" t="str">
        <x:v>Meta-Llama 3 70B Instruct</x:v>
      </x:c>
      <x:c r="J241" s="2" t="str">
        <x:v>Llama</x:v>
      </x:c>
      <x:c r="K241" s="2" t="str">
        <x:v>Meta-Llama 3 70B Instruct</x:v>
      </x:c>
      <x:c r="L241" s="2" t="str">
        <x:v>Open weights</x:v>
      </x:c>
      <x:c r="M241" s="2" t="str">
        <x:v>Open weights</x:v>
      </x:c>
      <x:c r="N241" s="6" t="str">
        <x:v>Reported in extraction</x:v>
      </x:c>
      <x:c r="O241" s="2" t="str">
        <x:v>Yes</x:v>
      </x:c>
      <x:c r="P241" s="2" t="str"/>
      <x:c r="Q241" s="2" t="str">
        <x:v>API</x:v>
      </x:c>
      <x:c r="R241" s="2" t="str">
        <x:v>Anyscale API</x:v>
      </x:c>
      <x:c r="S241" s="2" t="str">
        <x:v>3 Instruct</x:v>
      </x:c>
      <x:c r="T241" s="2" t="str">
        <x:v>70B</x:v>
      </x:c>
      <x:c r="U241" s="2" t="str">
        <x:v>NR</x:v>
      </x:c>
      <x:c r="V241" s="2" t="str">
        <x:v>NR</x:v>
      </x:c>
      <x:c r="W241" s="2" t="str">
        <x:v>NR</x:v>
      </x:c>
      <x:c r="X241" s="2" t="str">
        <x:v>NR</x:v>
      </x:c>
      <x:c r="Y241" s="2" t="str">
        <x:v>4096</x:v>
      </x:c>
      <x:c r="Z241" s="2" t="str">
        <x:v>NA</x:v>
      </x:c>
      <x:c r="AA241" s="2" t="str">
        <x:v>No</x:v>
      </x:c>
      <x:c r="AB241" s="2" t="str">
        <x:v>No</x:v>
      </x:c>
      <x:c r="AC241" s="6" t="str">
        <x:v>p. 8; Section 4.1 Code Summary Generation</x:v>
      </x:c>
      <x:c r="AD241" s="6" t="str">
        <x:v>we use an LLM to generate the class docstring using the source code of the whole class. Note that all the subsequent prompts used in this paper are a result of rigorous prompt engineering</x:v>
      </x:c>
    </x:row>
    <x:row r="242" ht="76" customHeight="1">
      <x:c r="A242" s="2" t="str">
        <x:v>S28</x:v>
      </x:c>
      <x:c r="B242" s="2" t="str">
        <x:v>2025</x:v>
      </x:c>
      <x:c r="C242" s="2" t="str">
        <x:v>Published</x:v>
      </x:c>
      <x:c r="D242" s="6" t="str">
        <x:v>Establishing Traceability Between Natural Language Requirements and Software Artifacts by Combining RAG and LLMs</x:v>
      </x:c>
      <x:c r="E242" s="2" t="str">
        <x:v>S28-MU02</x:v>
      </x:c>
      <x:c r="F242" s="2" t="str">
        <x:v>S28-O02</x:v>
      </x:c>
      <x:c r="G242" s="2" t="str">
        <x:v>S28-T01</x:v>
      </x:c>
      <x:c r="H242" s="2" t="str">
        <x:v>Llama 3</x:v>
      </x:c>
      <x:c r="I242" s="2" t="str">
        <x:v>Meta-Llama 3 70B Instruct</x:v>
      </x:c>
      <x:c r="J242" s="2" t="str">
        <x:v>Llama</x:v>
      </x:c>
      <x:c r="K242" s="2" t="str">
        <x:v>Meta-Llama 3 70B Instruct</x:v>
      </x:c>
      <x:c r="L242" s="2" t="str">
        <x:v>Open weights</x:v>
      </x:c>
      <x:c r="M242" s="2" t="str">
        <x:v>Open weights</x:v>
      </x:c>
      <x:c r="N242" s="6" t="str">
        <x:v>Reported in extraction</x:v>
      </x:c>
      <x:c r="O242" s="2" t="str">
        <x:v>Yes</x:v>
      </x:c>
      <x:c r="P242" s="2" t="str"/>
      <x:c r="Q242" s="2" t="str">
        <x:v>API</x:v>
      </x:c>
      <x:c r="R242" s="2" t="str">
        <x:v>Anyscale API</x:v>
      </x:c>
      <x:c r="S242" s="2" t="str">
        <x:v>3 Instruct</x:v>
      </x:c>
      <x:c r="T242" s="2" t="str">
        <x:v>70B</x:v>
      </x:c>
      <x:c r="U242" s="2" t="str">
        <x:v>NR</x:v>
      </x:c>
      <x:c r="V242" s="2" t="str">
        <x:v>NR</x:v>
      </x:c>
      <x:c r="W242" s="2" t="str">
        <x:v>NR</x:v>
      </x:c>
      <x:c r="X242" s="2" t="str">
        <x:v>NR</x:v>
      </x:c>
      <x:c r="Y242" s="2" t="str">
        <x:v>4096</x:v>
      </x:c>
      <x:c r="Z242" s="2" t="str">
        <x:v>NA</x:v>
      </x:c>
      <x:c r="AA242" s="2" t="str">
        <x:v>No</x:v>
      </x:c>
      <x:c r="AB242" s="2" t="str">
        <x:v>No</x:v>
      </x:c>
      <x:c r="AC242" s="6" t="str">
        <x:v>p. 10; Section 4.2 second paragraph</x:v>
      </x:c>
      <x:c r="AD242" s="6" t="str">
        <x:v>We use LLM to generate these similar requirements</x:v>
      </x:c>
    </x:row>
    <x:row r="243" ht="76" customHeight="1">
      <x:c r="A243" s="2" t="str">
        <x:v>S28</x:v>
      </x:c>
      <x:c r="B243" s="2" t="str">
        <x:v>2025</x:v>
      </x:c>
      <x:c r="C243" s="2" t="str">
        <x:v>Published</x:v>
      </x:c>
      <x:c r="D243" s="6" t="str">
        <x:v>Establishing Traceability Between Natural Language Requirements and Software Artifacts by Combining RAG and LLMs</x:v>
      </x:c>
      <x:c r="E243" s="2" t="str">
        <x:v>S28-MU03</x:v>
      </x:c>
      <x:c r="F243" s="2" t="str">
        <x:v>S28-O03</x:v>
      </x:c>
      <x:c r="G243" s="2" t="str">
        <x:v>S28-T01</x:v>
      </x:c>
      <x:c r="H243" s="2" t="str">
        <x:v>Llama 3</x:v>
      </x:c>
      <x:c r="I243" s="2" t="str">
        <x:v>Meta-Llama 3 70B Instruct</x:v>
      </x:c>
      <x:c r="J243" s="2" t="str">
        <x:v>Llama</x:v>
      </x:c>
      <x:c r="K243" s="2" t="str">
        <x:v>Meta-Llama 3 70B Instruct</x:v>
      </x:c>
      <x:c r="L243" s="2" t="str">
        <x:v>Open weights</x:v>
      </x:c>
      <x:c r="M243" s="2" t="str">
        <x:v>Open weights</x:v>
      </x:c>
      <x:c r="N243" s="6" t="str">
        <x:v>Reported in extraction</x:v>
      </x:c>
      <x:c r="O243" s="2" t="str">
        <x:v>Yes</x:v>
      </x:c>
      <x:c r="P243" s="2" t="str"/>
      <x:c r="Q243" s="2" t="str">
        <x:v>API</x:v>
      </x:c>
      <x:c r="R243" s="2" t="str">
        <x:v>Anyscale API</x:v>
      </x:c>
      <x:c r="S243" s="2" t="str">
        <x:v>3 Instruct</x:v>
      </x:c>
      <x:c r="T243" s="2" t="str">
        <x:v>70B</x:v>
      </x:c>
      <x:c r="U243" s="2" t="str">
        <x:v>NR</x:v>
      </x:c>
      <x:c r="V243" s="2" t="str">
        <x:v>NR</x:v>
      </x:c>
      <x:c r="W243" s="2" t="str">
        <x:v>NR</x:v>
      </x:c>
      <x:c r="X243" s="2" t="str">
        <x:v>NR</x:v>
      </x:c>
      <x:c r="Y243" s="2" t="str">
        <x:v>4096</x:v>
      </x:c>
      <x:c r="Z243" s="2" t="str">
        <x:v>NA</x:v>
      </x:c>
      <x:c r="AA243" s="2" t="str">
        <x:v>No</x:v>
      </x:c>
      <x:c r="AB243" s="2" t="str">
        <x:v>No</x:v>
      </x:c>
      <x:c r="AC243" s="6" t="str">
        <x:v>p. 15; and Section 4.2 and Section 6</x:v>
      </x:c>
      <x:c r="AD243" s="6" t="str">
        <x:v>maximum allowed prompt length for an LLM (e.g., 4096 tokens for Llama 3)</x:v>
      </x:c>
    </x:row>
    <x:row r="244" ht="76" customHeight="1">
      <x:c r="A244" s="2" t="str">
        <x:v>S07</x:v>
      </x:c>
      <x:c r="B244" s="2" t="str">
        <x:v>2026</x:v>
      </x:c>
      <x:c r="C244" s="2" t="str">
        <x:v>Published</x:v>
      </x:c>
      <x:c r="D244" s="6" t="str">
        <x:v>REST-at: An LLM-Based Tool for Automating Traceability between Requirements and Test Cases</x:v>
      </x:c>
      <x:c r="E244" s="2" t="str">
        <x:v>S07-MU04</x:v>
      </x:c>
      <x:c r="F244" s="2" t="str">
        <x:v>S07-O01</x:v>
      </x:c>
      <x:c r="G244" s="2" t="str">
        <x:v>S07-T01</x:v>
      </x:c>
      <x:c r="H244" s="2" t="str">
        <x:v>Mistral 7B</x:v>
      </x:c>
      <x:c r="I244" s="2" t="str">
        <x:v>mistral-7b</x:v>
      </x:c>
      <x:c r="J244" s="2" t="str">
        <x:v>Mistral</x:v>
      </x:c>
      <x:c r="K244" s="2" t="str">
        <x:v>Mistral 7B</x:v>
      </x:c>
      <x:c r="L244" s="2" t="str">
        <x:v>Open weights</x:v>
      </x:c>
      <x:c r="M244" s="2" t="str">
        <x:v>Open weights</x:v>
      </x:c>
      <x:c r="N244" s="6" t="str">
        <x:v>Reported in extraction</x:v>
      </x:c>
      <x:c r="O244" s="2" t="str">
        <x:v>Yes</x:v>
      </x:c>
      <x:c r="P244" s="2" t="str"/>
      <x:c r="Q244" s="2" t="str">
        <x:v>Local</x:v>
      </x:c>
      <x:c r="R244" s="2" t="str">
        <x:v>Local on C3SE cluster (requires at least 16GB vRAM)</x:v>
      </x:c>
      <x:c r="S244" s="2" t="str">
        <x:v>Unclear</x:v>
      </x:c>
      <x:c r="T244" s="2" t="str">
        <x:v>7B</x:v>
      </x:c>
      <x:c r="U244" s="2" t="str">
        <x:v>2024-05 to 2024-07</x:v>
      </x:c>
      <x:c r="V244" s="2" t="n">
        <x:v>0.1</x:v>
      </x:c>
      <x:c r="W244" s="2" t="str">
        <x:v>NR</x:v>
      </x:c>
      <x:c r="X244" s="2" t="n">
        <x:v>30</x:v>
      </x:c>
      <x:c r="Y244" s="2" t="str">
        <x:v>NR</x:v>
      </x:c>
      <x:c r="Z244" s="2" t="str">
        <x:v>NR</x:v>
      </x:c>
      <x:c r="AA244" s="2" t="str">
        <x:v>Yes</x:v>
      </x:c>
      <x:c r="AB244" s="2" t="str">
        <x:v>No</x:v>
      </x:c>
      <x:c r="AC244" s="6" t="str">
        <x:v>p. 2; Introduction</x:v>
      </x:c>
      <x:c r="AD244" s="6" t="str">
        <x:v>Mistral has 7 billion (B) parameters</x:v>
      </x:c>
    </x:row>
    <x:row r="245" ht="76" customHeight="1">
      <x:c r="A245" s="2" t="str">
        <x:v>S25</x:v>
      </x:c>
      <x:c r="B245" s="2" t="str">
        <x:v>2025</x:v>
      </x:c>
      <x:c r="C245" s="2" t="str">
        <x:v>Published</x:v>
      </x:c>
      <x:c r="D245" s="6" t="str">
        <x:v>Agentic RAG for Software Testing with Hybrid Vector-Graph and Multi-Agent Orchestration</x:v>
      </x:c>
      <x:c r="E245" s="2" t="str">
        <x:v>S25-MU01</x:v>
      </x:c>
      <x:c r="F245" s="2" t="str">
        <x:v>S25-O01</x:v>
      </x:c>
      <x:c r="G245" s="2" t="str">
        <x:v>S25-T01</x:v>
      </x:c>
      <x:c r="H245" s="2" t="str">
        <x:v>Mistral 7B</x:v>
      </x:c>
      <x:c r="I245" s="2" t="str">
        <x:v>Mistral 7B</x:v>
      </x:c>
      <x:c r="J245" s="2" t="str">
        <x:v>Mistral</x:v>
      </x:c>
      <x:c r="K245" s="2" t="str">
        <x:v>Mistral 7B</x:v>
      </x:c>
      <x:c r="L245" s="2" t="str">
        <x:v>Open weights</x:v>
      </x:c>
      <x:c r="M245" s="2" t="str">
        <x:v>Open weights</x:v>
      </x:c>
      <x:c r="N245" s="6" t="str">
        <x:v>Reported in extraction</x:v>
      </x:c>
      <x:c r="O245" s="2" t="str">
        <x:v>Yes</x:v>
      </x:c>
      <x:c r="P245" s="2" t="str"/>
      <x:c r="Q245" s="2" t="str">
        <x:v>Unclear</x:v>
      </x:c>
      <x:c r="R245" s="2" t="str">
        <x:v>NR</x:v>
      </x:c>
      <x:c r="S245" s="2" t="str">
        <x:v>NR</x:v>
      </x:c>
      <x:c r="T245" s="2" t="str">
        <x:v>7B</x:v>
      </x:c>
      <x:c r="U245" s="2" t="str">
        <x:v>NR</x:v>
      </x:c>
      <x:c r="V245" s="2" t="str">
        <x:v>NR</x:v>
      </x:c>
      <x:c r="W245" s="2" t="str">
        <x:v>NR</x:v>
      </x:c>
      <x:c r="X245" s="2" t="str">
        <x:v>NR</x:v>
      </x:c>
      <x:c r="Y245" s="2" t="str">
        <x:v>NR</x:v>
      </x:c>
      <x:c r="Z245" s="2" t="str">
        <x:v>NR</x:v>
      </x:c>
      <x:c r="AA245" s="2" t="str">
        <x:v>No</x:v>
      </x:c>
      <x:c r="AB245" s="2" t="str">
        <x:v>No</x:v>
      </x:c>
      <x:c r="AC245" s="6" t="str">
        <x:v>p. 5; Section III.C Model Selection Strategy</x:v>
      </x:c>
      <x:c r="AD245" s="6" t="str">
        <x:v>Simple test case generation utilizes Mistral 7B for efficiency</x:v>
      </x:c>
    </x:row>
    <x:row r="246" ht="76" customHeight="1">
      <x:c r="A246" s="2" t="str">
        <x:v>S27</x:v>
      </x:c>
      <x:c r="B246" s="2" t="str">
        <x:v>2025</x:v>
      </x:c>
      <x:c r="C246" s="2" t="str">
        <x:v>Published</x:v>
      </x:c>
      <x:c r="D246" s="6" t="str">
        <x:v>Beyond Retrieval: A Study of Using LLM Ensembles for Candidate Filtering in Requirements Traceability</x:v>
      </x:c>
      <x:c r="E246" s="2" t="str">
        <x:v>S27-MU03</x:v>
      </x:c>
      <x:c r="F246" s="2" t="str">
        <x:v>S27-O01</x:v>
      </x:c>
      <x:c r="G246" s="2" t="str">
        <x:v>S27-T01</x:v>
      </x:c>
      <x:c r="H246" s="2" t="str">
        <x:v>Mistral-Nemo:12b</x:v>
      </x:c>
      <x:c r="I246" s="2" t="str">
        <x:v>Mistral Nemo 12B</x:v>
      </x:c>
      <x:c r="J246" s="2" t="str">
        <x:v>Mistral</x:v>
      </x:c>
      <x:c r="K246" s="2" t="str">
        <x:v>Mistral NeMo 12B</x:v>
      </x:c>
      <x:c r="L246" s="2" t="str">
        <x:v>Open weights</x:v>
      </x:c>
      <x:c r="M246" s="2" t="str">
        <x:v>Open weights</x:v>
      </x:c>
      <x:c r="N246" s="6" t="str">
        <x:v>Reported in extraction</x:v>
      </x:c>
      <x:c r="O246" s="2" t="str">
        <x:v>Yes</x:v>
      </x:c>
      <x:c r="P246" s="2" t="str"/>
      <x:c r="Q246" s="2" t="str">
        <x:v>Local</x:v>
      </x:c>
      <x:c r="R246" s="2" t="str">
        <x:v>Local (Tesla V100S GPU)</x:v>
      </x:c>
      <x:c r="S246" s="2" t="str">
        <x:v>Nemo</x:v>
      </x:c>
      <x:c r="T246" s="2" t="str">
        <x:v>12B</x:v>
      </x:c>
      <x:c r="U246" s="2" t="str">
        <x:v>NR</x:v>
      </x:c>
      <x:c r="V246" s="2" t="n">
        <x:v>0</x:v>
      </x:c>
      <x:c r="W246" s="2" t="n">
        <x:v>133742243</x:v>
      </x:c>
      <x:c r="X246" s="2" t="str">
        <x:v>NR</x:v>
      </x:c>
      <x:c r="Y246" s="2" t="str">
        <x:v>NR</x:v>
      </x:c>
      <x:c r="Z246" s="2" t="str">
        <x:v>NR</x:v>
      </x:c>
      <x:c r="AA246" s="2" t="str">
        <x:v>No</x:v>
      </x:c>
      <x:c r="AB246" s="2" t="str">
        <x:v>No</x:v>
      </x:c>
      <x:c r="AC246" s="6" t="str">
        <x:v>p. 7; Section IV-B and Section IV-E</x:v>
      </x:c>
      <x:c r="AD246" s="6" t="str">
        <x:v>we fixed the random seed and set the model temperature to 0. Our results are therefore dependent on the specific seed 133742243</x:v>
      </x:c>
    </x:row>
    <x:row r="247" ht="76" customHeight="1">
      <x:c r="A247" s="2" t="str">
        <x:v>S34</x:v>
      </x:c>
      <x:c r="B247" s="2" t="str">
        <x:v>2025</x:v>
      </x:c>
      <x:c r="C247" s="2" t="str">
        <x:v>Grey literature</x:v>
      </x:c>
      <x:c r="D247" s="6" t="str">
        <x:v>Behavioral Augmentation of UML Class Diagrams: An Empirical Study of Large Language Models for Method Generation</x:v>
      </x:c>
      <x:c r="E247" s="2" t="str">
        <x:v>S34-MU09</x:v>
      </x:c>
      <x:c r="F247" s="2" t="str">
        <x:v>S34-O01</x:v>
      </x:c>
      <x:c r="G247" s="2" t="str">
        <x:v>S34-T01</x:v>
      </x:c>
      <x:c r="H247" s="2" t="str">
        <x:v>Mixtral 8×22B</x:v>
      </x:c>
      <x:c r="I247" s="2" t="str">
        <x:v>Mixtral 8×22B</x:v>
      </x:c>
      <x:c r="J247" s="2" t="str">
        <x:v>Mistral</x:v>
      </x:c>
      <x:c r="K247" s="2" t="str">
        <x:v>Mixtral 8x22B</x:v>
      </x:c>
      <x:c r="L247" s="2" t="str">
        <x:v>Open weights</x:v>
      </x:c>
      <x:c r="M247" s="2" t="str">
        <x:v>Open weights</x:v>
      </x:c>
      <x:c r="N247" s="6" t="str">
        <x:v>Reported in extraction</x:v>
      </x:c>
      <x:c r="O247" s="2" t="str">
        <x:v>Yes</x:v>
      </x:c>
      <x:c r="P247" s="2" t="str"/>
      <x:c r="Q247" s="2" t="str">
        <x:v>NR</x:v>
      </x:c>
      <x:c r="R247" s="2" t="str">
        <x:v>NR</x:v>
      </x:c>
      <x:c r="S247" s="2" t="str">
        <x:v>8×22B</x:v>
      </x:c>
      <x:c r="T247" s="2" t="str">
        <x:v>NR</x:v>
      </x:c>
      <x:c r="U247" s="2" t="str">
        <x:v>NR</x:v>
      </x:c>
      <x:c r="V247" s="2" t="str">
        <x:v>NR</x:v>
      </x:c>
      <x:c r="W247" s="2" t="str">
        <x:v>NR</x:v>
      </x:c>
      <x:c r="X247" s="2" t="n">
        <x:v>10</x:v>
      </x:c>
      <x:c r="Y247" s="2" t="str">
        <x:v>128K tokens</x:v>
      </x:c>
      <x:c r="Z247" s="2" t="str">
        <x:v>NR</x:v>
      </x:c>
      <x:c r="AA247" s="2" t="str">
        <x:v>No</x:v>
      </x:c>
      <x:c r="AB247" s="2" t="str">
        <x:v>Yes</x:v>
      </x:c>
      <x:c r="AC247" s="6" t="str">
        <x:v>p. 2; Section 1, last paragraph</x:v>
      </x:c>
      <x:c r="AD247" s="6" t="str">
        <x:v>nine state-of-the-art LLMs—Claude 3.7, Gemini 2.5 Pro, Grok 3, Qwen 3, DeepSeek-R1, GPT-4o, ChatGPT-o3, Llama 4, and Mixtral 8×22B</x:v>
      </x:c>
    </x:row>
    <x:row r="248" ht="76" customHeight="1">
      <x:c r="A248" s="2" t="str">
        <x:v>S07</x:v>
      </x:c>
      <x:c r="B248" s="2" t="str">
        <x:v>2026</x:v>
      </x:c>
      <x:c r="C248" s="2" t="str">
        <x:v>Published</x:v>
      </x:c>
      <x:c r="D248" s="6" t="str">
        <x:v>REST-at: An LLM-Based Tool for Automating Traceability between Requirements and Test Cases</x:v>
      </x:c>
      <x:c r="E248" s="2" t="str">
        <x:v>S07-MU05</x:v>
      </x:c>
      <x:c r="F248" s="2" t="str">
        <x:v>S07-O01</x:v>
      </x:c>
      <x:c r="G248" s="2" t="str">
        <x:v>S07-T01</x:v>
      </x:c>
      <x:c r="H248" s="2" t="str">
        <x:v>Mixtral 8x7B</x:v>
      </x:c>
      <x:c r="I248" s="2" t="str">
        <x:v>mixtral-8x7b</x:v>
      </x:c>
      <x:c r="J248" s="2" t="str">
        <x:v>Mistral</x:v>
      </x:c>
      <x:c r="K248" s="2" t="str">
        <x:v>Mixtral 8x7B</x:v>
      </x:c>
      <x:c r="L248" s="2" t="str">
        <x:v>Open weights</x:v>
      </x:c>
      <x:c r="M248" s="2" t="str">
        <x:v>Open weights</x:v>
      </x:c>
      <x:c r="N248" s="6" t="str">
        <x:v>Reported in extraction</x:v>
      </x:c>
      <x:c r="O248" s="2" t="str">
        <x:v>Yes</x:v>
      </x:c>
      <x:c r="P248" s="2" t="str"/>
      <x:c r="Q248" s="2" t="str">
        <x:v>Local</x:v>
      </x:c>
      <x:c r="R248" s="2" t="str">
        <x:v>Local on C3SE cluster (requires at least 100GB vRAM)</x:v>
      </x:c>
      <x:c r="S248" s="2" t="str">
        <x:v>Unclear</x:v>
      </x:c>
      <x:c r="T248" s="2" t="str">
        <x:v>46.7B (13B active)</x:v>
      </x:c>
      <x:c r="U248" s="2" t="str">
        <x:v>2024-05 to 2024-07</x:v>
      </x:c>
      <x:c r="V248" s="2" t="n">
        <x:v>0.1</x:v>
      </x:c>
      <x:c r="W248" s="2" t="str">
        <x:v>NR</x:v>
      </x:c>
      <x:c r="X248" s="2" t="n">
        <x:v>30</x:v>
      </x:c>
      <x:c r="Y248" s="2" t="str">
        <x:v>NR</x:v>
      </x:c>
      <x:c r="Z248" s="2" t="str">
        <x:v>NR</x:v>
      </x:c>
      <x:c r="AA248" s="2" t="str">
        <x:v>Yes</x:v>
      </x:c>
      <x:c r="AB248" s="2" t="str">
        <x:v>No</x:v>
      </x:c>
      <x:c r="AC248" s="6" t="str">
        <x:v>p. 2; Introduction</x:v>
      </x:c>
      <x:c r="AD248" s="6" t="str">
        <x:v>Mixtral has 46.7B parameters with 13B active</x:v>
      </x:c>
    </x:row>
    <x:row r="249" ht="76" customHeight="1">
      <x:c r="A249" s="2" t="str">
        <x:v>S27</x:v>
      </x:c>
      <x:c r="B249" s="2" t="str">
        <x:v>2025</x:v>
      </x:c>
      <x:c r="C249" s="2" t="str">
        <x:v>Published</x:v>
      </x:c>
      <x:c r="D249" s="6" t="str">
        <x:v>Beyond Retrieval: A Study of Using LLM Ensembles for Candidate Filtering in Requirements Traceability</x:v>
      </x:c>
      <x:c r="E249" s="2" t="str">
        <x:v>S27-MU04</x:v>
      </x:c>
      <x:c r="F249" s="2" t="str">
        <x:v>S27-O01</x:v>
      </x:c>
      <x:c r="G249" s="2" t="str">
        <x:v>S27-T01</x:v>
      </x:c>
      <x:c r="H249" s="2" t="str">
        <x:v>Phi-4:14b</x:v>
      </x:c>
      <x:c r="I249" s="2" t="str">
        <x:v>Phi-4 14B</x:v>
      </x:c>
      <x:c r="J249" s="2" t="str">
        <x:v>Phi</x:v>
      </x:c>
      <x:c r="K249" s="2" t="str">
        <x:v>Phi-4 14B</x:v>
      </x:c>
      <x:c r="L249" s="2" t="str">
        <x:v>Open weights</x:v>
      </x:c>
      <x:c r="M249" s="2" t="str">
        <x:v>Open weights</x:v>
      </x:c>
      <x:c r="N249" s="6" t="str">
        <x:v>Reported in extraction</x:v>
      </x:c>
      <x:c r="O249" s="2" t="str">
        <x:v>Yes</x:v>
      </x:c>
      <x:c r="P249" s="2" t="str"/>
      <x:c r="Q249" s="2" t="str">
        <x:v>Local</x:v>
      </x:c>
      <x:c r="R249" s="2" t="str">
        <x:v>Local (Tesla V100S GPU)</x:v>
      </x:c>
      <x:c r="S249" s="2" t="str">
        <x:v>4</x:v>
      </x:c>
      <x:c r="T249" s="2" t="str">
        <x:v>14B</x:v>
      </x:c>
      <x:c r="U249" s="2" t="str">
        <x:v>NR</x:v>
      </x:c>
      <x:c r="V249" s="2" t="n">
        <x:v>0</x:v>
      </x:c>
      <x:c r="W249" s="2" t="n">
        <x:v>133742243</x:v>
      </x:c>
      <x:c r="X249" s="2" t="str">
        <x:v>NR</x:v>
      </x:c>
      <x:c r="Y249" s="2" t="str">
        <x:v>NR</x:v>
      </x:c>
      <x:c r="Z249" s="2" t="str">
        <x:v>NR</x:v>
      </x:c>
      <x:c r="AA249" s="2" t="str">
        <x:v>No</x:v>
      </x:c>
      <x:c r="AB249" s="2" t="str">
        <x:v>No</x:v>
      </x:c>
      <x:c r="AC249" s="6" t="str">
        <x:v>p. 7; Section IV-B and Section IV-E</x:v>
      </x:c>
      <x:c r="AD249" s="6" t="str">
        <x:v>we fixed the random seed and set the model temperature to 0. Our results are therefore dependent on the specific seed 133742243</x:v>
      </x:c>
    </x:row>
    <x:row r="250" ht="76" customHeight="1">
      <x:c r="A250" s="2" t="str">
        <x:v>S38</x:v>
      </x:c>
      <x:c r="B250" s="2" t="str">
        <x:v>2026</x:v>
      </x:c>
      <x:c r="C250" s="2" t="str">
        <x:v>Published</x:v>
      </x:c>
      <x:c r="D250" s="6" t="str">
        <x:v>LusGen: Leveraging LLMs for Safety-Critical Lustre Design and Requirements Traceability</x:v>
      </x:c>
      <x:c r="E250" s="2" t="str">
        <x:v>S38-MU01</x:v>
      </x:c>
      <x:c r="F250" s="2" t="str">
        <x:v>S38-O01</x:v>
      </x:c>
      <x:c r="G250" s="2" t="str">
        <x:v>S38-T01</x:v>
      </x:c>
      <x:c r="H250" s="2" t="str">
        <x:v>Qwen2.5-Coder-32B-Instruct</x:v>
      </x:c>
      <x:c r="I250" s="2" t="str">
        <x:v>Qwen2.5-Coder-32B-Instruct</x:v>
      </x:c>
      <x:c r="J250" s="2" t="str">
        <x:v>Qwen</x:v>
      </x:c>
      <x:c r="K250" s="2" t="str">
        <x:v>Qwen2.5-Coder 32B Instruct</x:v>
      </x:c>
      <x:c r="L250" s="2" t="str">
        <x:v>Open weights</x:v>
      </x:c>
      <x:c r="M250" s="2" t="str">
        <x:v>Open weights</x:v>
      </x:c>
      <x:c r="N250" s="6" t="str">
        <x:v>Reported in extraction</x:v>
      </x:c>
      <x:c r="O250" s="2" t="str">
        <x:v>Yes</x:v>
      </x:c>
      <x:c r="P250" s="2" t="str"/>
      <x:c r="Q250" s="2" t="str">
        <x:v>Unclear</x:v>
      </x:c>
      <x:c r="R250" s="2" t="str">
        <x:v>NR</x:v>
      </x:c>
      <x:c r="S250" s="2" t="str">
        <x:v>32B-Instruct</x:v>
      </x:c>
      <x:c r="T250" s="2" t="str">
        <x:v>32B</x:v>
      </x:c>
      <x:c r="U250" s="2" t="str">
        <x:v>NR</x:v>
      </x:c>
      <x:c r="V250" s="2" t="str">
        <x:v>NR</x:v>
      </x:c>
      <x:c r="W250" s="2" t="str">
        <x:v>NR</x:v>
      </x:c>
      <x:c r="X250" s="2" t="str">
        <x:v>NR</x:v>
      </x:c>
      <x:c r="Y250" s="2" t="str">
        <x:v>NR</x:v>
      </x:c>
      <x:c r="Z250" s="2" t="str">
        <x:v>NR</x:v>
      </x:c>
      <x:c r="AA250" s="2" t="str">
        <x:v>No</x:v>
      </x:c>
      <x:c r="AB250" s="2" t="str">
        <x:v>No</x:v>
      </x:c>
      <x:c r="AC250" s="6" t="str">
        <x:v>p. 15; Table 3</x:v>
      </x:c>
      <x:c r="AD250" s="6" t="str">
        <x:v>1. Qwen2.5-Coder-32B-Instruct</x:v>
      </x:c>
    </x:row>
    <x:row r="251" ht="76" customHeight="1">
      <x:c r="A251" s="2" t="str">
        <x:v>S34</x:v>
      </x:c>
      <x:c r="B251" s="2" t="str">
        <x:v>2025</x:v>
      </x:c>
      <x:c r="C251" s="2" t="str">
        <x:v>Grey literature</x:v>
      </x:c>
      <x:c r="D251" s="6" t="str">
        <x:v>Behavioral Augmentation of UML Class Diagrams: An Empirical Study of Large Language Models for Method Generation</x:v>
      </x:c>
      <x:c r="E251" s="2" t="str">
        <x:v>S34-MU04</x:v>
      </x:c>
      <x:c r="F251" s="2" t="str">
        <x:v>S34-O01</x:v>
      </x:c>
      <x:c r="G251" s="2" t="str">
        <x:v>S34-T01</x:v>
      </x:c>
      <x:c r="H251" s="2" t="str">
        <x:v>Qwen 3</x:v>
      </x:c>
      <x:c r="I251" s="2" t="str">
        <x:v>Qwen 3</x:v>
      </x:c>
      <x:c r="J251" s="2" t="str">
        <x:v>Qwen</x:v>
      </x:c>
      <x:c r="K251" s="2" t="str">
        <x:v>Qwen3</x:v>
      </x:c>
      <x:c r="L251" s="2" t="str">
        <x:v>Open weights</x:v>
      </x:c>
      <x:c r="M251" s="2" t="str">
        <x:v>Open weights</x:v>
      </x:c>
      <x:c r="N251" s="6" t="str">
        <x:v>Reported in extraction</x:v>
      </x:c>
      <x:c r="O251" s="2" t="str">
        <x:v>Yes</x:v>
      </x:c>
      <x:c r="P251" s="2" t="str"/>
      <x:c r="Q251" s="2" t="str">
        <x:v>NR</x:v>
      </x:c>
      <x:c r="R251" s="2" t="str">
        <x:v>NR</x:v>
      </x:c>
      <x:c r="S251" s="2" t="str">
        <x:v>3</x:v>
      </x:c>
      <x:c r="T251" s="2" t="str">
        <x:v>NR</x:v>
      </x:c>
      <x:c r="U251" s="2" t="str">
        <x:v>NR</x:v>
      </x:c>
      <x:c r="V251" s="2" t="str">
        <x:v>NR</x:v>
      </x:c>
      <x:c r="W251" s="2" t="str">
        <x:v>NR</x:v>
      </x:c>
      <x:c r="X251" s="2" t="n">
        <x:v>10</x:v>
      </x:c>
      <x:c r="Y251" s="2" t="str">
        <x:v>~38K tokens</x:v>
      </x:c>
      <x:c r="Z251" s="2" t="str">
        <x:v>NR</x:v>
      </x:c>
      <x:c r="AA251" s="2" t="str">
        <x:v>No</x:v>
      </x:c>
      <x:c r="AB251" s="2" t="str">
        <x:v>Yes</x:v>
      </x:c>
      <x:c r="AC251" s="6" t="str">
        <x:v>p. 2; Section 1, last paragraph</x:v>
      </x:c>
      <x:c r="AD251" s="6" t="str">
        <x:v>nine state-of-the-art LLMs—Claude 3.7, Gemini 2.5 Pro, Grok 3, Qwen 3, DeepSeek-R1, GPT-4o, ChatGPT-o3, Llama 4, and Mixtral 8×22B</x:v>
      </x:c>
    </x:row>
    <x:row r="252" ht="76" customHeight="1">
      <x:c r="A252" s="2" t="str">
        <x:v>S10</x:v>
      </x:c>
      <x:c r="B252" s="2" t="str">
        <x:v>2026</x:v>
      </x:c>
      <x:c r="C252" s="2" t="str">
        <x:v>Grey literature</x:v>
      </x:c>
      <x:c r="D252" s="6" t="str">
        <x:v>Think Harder and Don't Overlook Your Options: Revisiting Issue-Commit Linking with LLM-Assisted Retrieval</x:v>
      </x:c>
      <x:c r="E252" s="2" t="str">
        <x:v>S10-MU04</x:v>
      </x:c>
      <x:c r="F252" s="2" t="str">
        <x:v>S10-O01</x:v>
      </x:c>
      <x:c r="G252" s="2" t="str">
        <x:v>S10-T01</x:v>
      </x:c>
      <x:c r="H252" s="2" t="str">
        <x:v>Qwen3-32B</x:v>
      </x:c>
      <x:c r="I252" s="2" t="str">
        <x:v>Qwen3-32B</x:v>
      </x:c>
      <x:c r="J252" s="2" t="str">
        <x:v>Qwen</x:v>
      </x:c>
      <x:c r="K252" s="2" t="str">
        <x:v>Qwen3 32B</x:v>
      </x:c>
      <x:c r="L252" s="2" t="str">
        <x:v>Open weights</x:v>
      </x:c>
      <x:c r="M252" s="2" t="str">
        <x:v>Open weights</x:v>
      </x:c>
      <x:c r="N252" s="6" t="str">
        <x:v>Reported in extraction</x:v>
      </x:c>
      <x:c r="O252" s="2" t="str">
        <x:v>Yes</x:v>
      </x:c>
      <x:c r="P252" s="2" t="str"/>
      <x:c r="Q252" s="2" t="str">
        <x:v>Local</x:v>
      </x:c>
      <x:c r="R252" s="2" t="str">
        <x:v>locally run</x:v>
      </x:c>
      <x:c r="S252" s="2" t="str">
        <x:v>3-32B</x:v>
      </x:c>
      <x:c r="T252" s="2" t="str">
        <x:v>32B</x:v>
      </x:c>
      <x:c r="U252" s="2" t="str">
        <x:v>2026-04-30</x:v>
      </x:c>
      <x:c r="V252" s="2" t="str">
        <x:v>NR</x:v>
      </x:c>
      <x:c r="W252" s="2" t="str">
        <x:v>NR</x:v>
      </x:c>
      <x:c r="X252" s="2" t="str">
        <x:v>NR</x:v>
      </x:c>
      <x:c r="Y252" s="2" t="str">
        <x:v>NR</x:v>
      </x:c>
      <x:c r="Z252" s="2" t="str">
        <x:v>NR</x:v>
      </x:c>
      <x:c r="AA252" s="2" t="str">
        <x:v>No</x:v>
      </x:c>
      <x:c r="AB252" s="2" t="str">
        <x:v>No</x:v>
      </x:c>
      <x:c r="AC252" s="6" t="str">
        <x:v>p. 4; Section 5.3</x:v>
      </x:c>
      <x:c r="AD252" s="6" t="str">
        <x:v>Qwen3-32B</x:v>
      </x:c>
    </x:row>
    <x:row r="253" ht="76" customHeight="1">
      <x:c r="A253" s="2" t="str">
        <x:v>S47</x:v>
      </x:c>
      <x:c r="B253" s="2" t="str">
        <x:v>2026</x:v>
      </x:c>
      <x:c r="C253" s="2" t="str">
        <x:v>Grey literature</x:v>
      </x:c>
      <x:c r="D253" s="6" t="str">
        <x:v>SpecMap: Hierarchical LLM Agent for Datasheet-to-Code Traceability Link Recovery in Systems Engineering</x:v>
      </x:c>
      <x:c r="E253" s="2" t="str">
        <x:v>S47-MU01</x:v>
      </x:c>
      <x:c r="F253" s="2" t="str">
        <x:v>S47-O01</x:v>
      </x:c>
      <x:c r="G253" s="2" t="str">
        <x:v>S47-T01</x:v>
      </x:c>
      <x:c r="H253" s="2" t="str">
        <x:v>Qwen3-Coder-30B-A3B-Instruct-FP8</x:v>
      </x:c>
      <x:c r="I253" s="2" t="str">
        <x:v>Qwen3-Coder-30B-A3B-Instruct</x:v>
      </x:c>
      <x:c r="J253" s="2" t="str">
        <x:v>Qwen</x:v>
      </x:c>
      <x:c r="K253" s="2" t="str">
        <x:v>Qwen3-Coder 30B-A3B Instruct</x:v>
      </x:c>
      <x:c r="L253" s="2" t="str">
        <x:v>Open weights</x:v>
      </x:c>
      <x:c r="M253" s="2" t="str">
        <x:v>Open weights</x:v>
      </x:c>
      <x:c r="N253" s="6" t="str">
        <x:v>Reported in extraction</x:v>
      </x:c>
      <x:c r="O253" s="2" t="str">
        <x:v>Yes</x:v>
      </x:c>
      <x:c r="P253" s="2" t="str"/>
      <x:c r="Q253" s="2" t="str">
        <x:v>Local</x:v>
      </x:c>
      <x:c r="R253" s="2" t="str">
        <x:v>Self-hosted</x:v>
      </x:c>
      <x:c r="S253" s="2" t="str">
        <x:v>Qwen3</x:v>
      </x:c>
      <x:c r="T253" s="2" t="str">
        <x:v>30B</x:v>
      </x:c>
      <x:c r="U253" s="2" t="str">
        <x:v>NR</x:v>
      </x:c>
      <x:c r="V253" s="2" t="str">
        <x:v>NR</x:v>
      </x:c>
      <x:c r="W253" s="2" t="str">
        <x:v>NR</x:v>
      </x:c>
      <x:c r="X253" s="2" t="str">
        <x:v>NR</x:v>
      </x:c>
      <x:c r="Y253" s="2" t="str">
        <x:v>NR</x:v>
      </x:c>
      <x:c r="Z253" s="2" t="str">
        <x:v>NR</x:v>
      </x:c>
      <x:c r="AA253" s="2" t="str">
        <x:v>No</x:v>
      </x:c>
      <x:c r="AB253" s="2" t="str">
        <x:v>No</x:v>
      </x:c>
      <x:c r="AC253" s="6" t="str">
        <x:v>p. 10; Table 2</x:v>
      </x:c>
      <x:c r="AD253" s="6" t="str">
        <x:v>Qwen3-Coder-30B-A3B-Instruct-FP8</x:v>
      </x:c>
    </x:row>
    <x:row r="254" ht="76" customHeight="1">
      <x:c r="A254" s="2" t="str">
        <x:v>S47</x:v>
      </x:c>
      <x:c r="B254" s="2" t="str">
        <x:v>2026</x:v>
      </x:c>
      <x:c r="C254" s="2" t="str">
        <x:v>Grey literature</x:v>
      </x:c>
      <x:c r="D254" s="6" t="str">
        <x:v>SpecMap: Hierarchical LLM Agent for Datasheet-to-Code Traceability Link Recovery in Systems Engineering</x:v>
      </x:c>
      <x:c r="E254" s="2" t="str">
        <x:v>S47-MU02</x:v>
      </x:c>
      <x:c r="F254" s="2" t="str">
        <x:v>S47-O02</x:v>
      </x:c>
      <x:c r="G254" s="2" t="str">
        <x:v>S47-T01</x:v>
      </x:c>
      <x:c r="H254" s="2" t="str">
        <x:v>Qwen3-Coder-30B-A3B-Instruct-FP8</x:v>
      </x:c>
      <x:c r="I254" s="2" t="str">
        <x:v>Qwen3-Coder-30B-A3B-Instruct</x:v>
      </x:c>
      <x:c r="J254" s="2" t="str">
        <x:v>Qwen</x:v>
      </x:c>
      <x:c r="K254" s="2" t="str">
        <x:v>Qwen3-Coder 30B-A3B Instruct</x:v>
      </x:c>
      <x:c r="L254" s="2" t="str">
        <x:v>Open weights</x:v>
      </x:c>
      <x:c r="M254" s="2" t="str">
        <x:v>Open weights</x:v>
      </x:c>
      <x:c r="N254" s="6" t="str">
        <x:v>Reported in extraction</x:v>
      </x:c>
      <x:c r="O254" s="2" t="str">
        <x:v>Yes</x:v>
      </x:c>
      <x:c r="P254" s="2" t="str"/>
      <x:c r="Q254" s="2" t="str">
        <x:v>Local</x:v>
      </x:c>
      <x:c r="R254" s="2" t="str">
        <x:v>Self-hosted</x:v>
      </x:c>
      <x:c r="S254" s="2" t="str">
        <x:v>Qwen3</x:v>
      </x:c>
      <x:c r="T254" s="2" t="str">
        <x:v>30B</x:v>
      </x:c>
      <x:c r="U254" s="2" t="str">
        <x:v>NR</x:v>
      </x:c>
      <x:c r="V254" s="2" t="str">
        <x:v>NR</x:v>
      </x:c>
      <x:c r="W254" s="2" t="str">
        <x:v>NR</x:v>
      </x:c>
      <x:c r="X254" s="2" t="str">
        <x:v>NR</x:v>
      </x:c>
      <x:c r="Y254" s="2" t="str">
        <x:v>NR</x:v>
      </x:c>
      <x:c r="Z254" s="2" t="str">
        <x:v>NR</x:v>
      </x:c>
      <x:c r="AA254" s="2" t="str">
        <x:v>No</x:v>
      </x:c>
      <x:c r="AB254" s="2" t="str">
        <x:v>No</x:v>
      </x:c>
      <x:c r="AC254" s="6" t="str">
        <x:v>p. 10; Table 2</x:v>
      </x:c>
      <x:c r="AD254" s="6" t="str">
        <x:v>Qwen3-Coder-30B-A3B-Instruct-FP8</x:v>
      </x:c>
    </x:row>
    <x:row r="255" ht="76" customHeight="1">
      <x:c r="A255" s="2" t="str">
        <x:v>S47</x:v>
      </x:c>
      <x:c r="B255" s="2" t="str">
        <x:v>2026</x:v>
      </x:c>
      <x:c r="C255" s="2" t="str">
        <x:v>Grey literature</x:v>
      </x:c>
      <x:c r="D255" s="6" t="str">
        <x:v>SpecMap: Hierarchical LLM Agent for Datasheet-to-Code Traceability Link Recovery in Systems Engineering</x:v>
      </x:c>
      <x:c r="E255" s="2" t="str">
        <x:v>S47-MU03</x:v>
      </x:c>
      <x:c r="F255" s="2" t="str">
        <x:v>S47-O03</x:v>
      </x:c>
      <x:c r="G255" s="2" t="str">
        <x:v>S47-T01</x:v>
      </x:c>
      <x:c r="H255" s="2" t="str">
        <x:v>Qwen3-Coder-30B-A3B-Instruct-FP8</x:v>
      </x:c>
      <x:c r="I255" s="2" t="str">
        <x:v>Qwen3-Coder-30B-A3B-Instruct</x:v>
      </x:c>
      <x:c r="J255" s="2" t="str">
        <x:v>Qwen</x:v>
      </x:c>
      <x:c r="K255" s="2" t="str">
        <x:v>Qwen3-Coder 30B-A3B Instruct</x:v>
      </x:c>
      <x:c r="L255" s="2" t="str">
        <x:v>Open weights</x:v>
      </x:c>
      <x:c r="M255" s="2" t="str">
        <x:v>Open weights</x:v>
      </x:c>
      <x:c r="N255" s="6" t="str">
        <x:v>Reported in extraction</x:v>
      </x:c>
      <x:c r="O255" s="2" t="str">
        <x:v>Yes</x:v>
      </x:c>
      <x:c r="P255" s="2" t="str"/>
      <x:c r="Q255" s="2" t="str">
        <x:v>Local</x:v>
      </x:c>
      <x:c r="R255" s="2" t="str">
        <x:v>Self-hosted</x:v>
      </x:c>
      <x:c r="S255" s="2" t="str">
        <x:v>Qwen3</x:v>
      </x:c>
      <x:c r="T255" s="2" t="str">
        <x:v>30B</x:v>
      </x:c>
      <x:c r="U255" s="2" t="str">
        <x:v>NR</x:v>
      </x:c>
      <x:c r="V255" s="2" t="str">
        <x:v>NR</x:v>
      </x:c>
      <x:c r="W255" s="2" t="str">
        <x:v>NR</x:v>
      </x:c>
      <x:c r="X255" s="2" t="str">
        <x:v>NR</x:v>
      </x:c>
      <x:c r="Y255" s="2" t="str">
        <x:v>NR</x:v>
      </x:c>
      <x:c r="Z255" s="2" t="str">
        <x:v>NR</x:v>
      </x:c>
      <x:c r="AA255" s="2" t="str">
        <x:v>No</x:v>
      </x:c>
      <x:c r="AB255" s="2" t="str">
        <x:v>No</x:v>
      </x:c>
      <x:c r="AC255" s="6" t="str">
        <x:v>p. 10; Table 2</x:v>
      </x:c>
      <x:c r="AD255" s="6" t="str">
        <x:v>Qwen3-Coder-30B-A3B-Instruct-FP8</x:v>
      </x:c>
    </x:row>
    <x:row r="256" ht="76" customHeight="1">
      <x:c r="A256" s="2" t="str">
        <x:v>S47</x:v>
      </x:c>
      <x:c r="B256" s="2" t="str">
        <x:v>2026</x:v>
      </x:c>
      <x:c r="C256" s="2" t="str">
        <x:v>Grey literature</x:v>
      </x:c>
      <x:c r="D256" s="6" t="str">
        <x:v>SpecMap: Hierarchical LLM Agent for Datasheet-to-Code Traceability Link Recovery in Systems Engineering</x:v>
      </x:c>
      <x:c r="E256" s="2" t="str">
        <x:v>S47-MU04</x:v>
      </x:c>
      <x:c r="F256" s="2" t="str">
        <x:v>S47-O04</x:v>
      </x:c>
      <x:c r="G256" s="2" t="str">
        <x:v>S47-T01</x:v>
      </x:c>
      <x:c r="H256" s="2" t="str">
        <x:v>Qwen3-Coder-30B-A3B-Instruct-FP8</x:v>
      </x:c>
      <x:c r="I256" s="2" t="str">
        <x:v>Qwen3-Coder-30B-A3B-Instruct</x:v>
      </x:c>
      <x:c r="J256" s="2" t="str">
        <x:v>Qwen</x:v>
      </x:c>
      <x:c r="K256" s="2" t="str">
        <x:v>Qwen3-Coder 30B-A3B Instruct</x:v>
      </x:c>
      <x:c r="L256" s="2" t="str">
        <x:v>Open weights</x:v>
      </x:c>
      <x:c r="M256" s="2" t="str">
        <x:v>Open weights</x:v>
      </x:c>
      <x:c r="N256" s="6" t="str">
        <x:v>Reported in extraction</x:v>
      </x:c>
      <x:c r="O256" s="2" t="str">
        <x:v>Yes</x:v>
      </x:c>
      <x:c r="P256" s="2" t="str"/>
      <x:c r="Q256" s="2" t="str">
        <x:v>Local</x:v>
      </x:c>
      <x:c r="R256" s="2" t="str">
        <x:v>Self-hosted</x:v>
      </x:c>
      <x:c r="S256" s="2" t="str">
        <x:v>Qwen3</x:v>
      </x:c>
      <x:c r="T256" s="2" t="str">
        <x:v>30B</x:v>
      </x:c>
      <x:c r="U256" s="2" t="str">
        <x:v>NR</x:v>
      </x:c>
      <x:c r="V256" s="2" t="str">
        <x:v>NR</x:v>
      </x:c>
      <x:c r="W256" s="2" t="str">
        <x:v>NR</x:v>
      </x:c>
      <x:c r="X256" s="2" t="str">
        <x:v>NR</x:v>
      </x:c>
      <x:c r="Y256" s="2" t="str">
        <x:v>NR</x:v>
      </x:c>
      <x:c r="Z256" s="2" t="str">
        <x:v>NR</x:v>
      </x:c>
      <x:c r="AA256" s="2" t="str">
        <x:v>No</x:v>
      </x:c>
      <x:c r="AB256" s="2" t="str">
        <x:v>No</x:v>
      </x:c>
      <x:c r="AC256" s="6" t="str">
        <x:v>p. 10; Table 2</x:v>
      </x:c>
      <x:c r="AD256" s="6" t="str">
        <x:v>Qwen3-Coder-30B-A3B-Instruct-FP8</x:v>
      </x:c>
    </x:row>
    <x:row r="257" ht="76" customHeight="1">
      <x:c r="A257" s="2" t="str">
        <x:v>S47</x:v>
      </x:c>
      <x:c r="B257" s="2" t="str">
        <x:v>2026</x:v>
      </x:c>
      <x:c r="C257" s="2" t="str">
        <x:v>Grey literature</x:v>
      </x:c>
      <x:c r="D257" s="6" t="str">
        <x:v>SpecMap: Hierarchical LLM Agent for Datasheet-to-Code Traceability Link Recovery in Systems Engineering</x:v>
      </x:c>
      <x:c r="E257" s="2" t="str">
        <x:v>S47-MU05</x:v>
      </x:c>
      <x:c r="F257" s="2" t="str">
        <x:v>S47-O05</x:v>
      </x:c>
      <x:c r="G257" s="2" t="str">
        <x:v>S47-T01</x:v>
      </x:c>
      <x:c r="H257" s="2" t="str">
        <x:v>Qwen3-Coder-30B-A3B-Instruct-FP8</x:v>
      </x:c>
      <x:c r="I257" s="2" t="str">
        <x:v>Qwen3-Coder-30B-A3B-Instruct</x:v>
      </x:c>
      <x:c r="J257" s="2" t="str">
        <x:v>Qwen</x:v>
      </x:c>
      <x:c r="K257" s="2" t="str">
        <x:v>Qwen3-Coder 30B-A3B Instruct</x:v>
      </x:c>
      <x:c r="L257" s="2" t="str">
        <x:v>Open weights</x:v>
      </x:c>
      <x:c r="M257" s="2" t="str">
        <x:v>Open weights</x:v>
      </x:c>
      <x:c r="N257" s="6" t="str">
        <x:v>Reported in extraction</x:v>
      </x:c>
      <x:c r="O257" s="2" t="str">
        <x:v>Yes</x:v>
      </x:c>
      <x:c r="P257" s="2" t="str"/>
      <x:c r="Q257" s="2" t="str">
        <x:v>Local</x:v>
      </x:c>
      <x:c r="R257" s="2" t="str">
        <x:v>Self-hosted</x:v>
      </x:c>
      <x:c r="S257" s="2" t="str">
        <x:v>Qwen3</x:v>
      </x:c>
      <x:c r="T257" s="2" t="str">
        <x:v>30B</x:v>
      </x:c>
      <x:c r="U257" s="2" t="str">
        <x:v>NR</x:v>
      </x:c>
      <x:c r="V257" s="2" t="str">
        <x:v>NR</x:v>
      </x:c>
      <x:c r="W257" s="2" t="str">
        <x:v>NR</x:v>
      </x:c>
      <x:c r="X257" s="2" t="str">
        <x:v>NR</x:v>
      </x:c>
      <x:c r="Y257" s="2" t="str">
        <x:v>NR</x:v>
      </x:c>
      <x:c r="Z257" s="2" t="str">
        <x:v>NR</x:v>
      </x:c>
      <x:c r="AA257" s="2" t="str">
        <x:v>No</x:v>
      </x:c>
      <x:c r="AB257" s="2" t="str">
        <x:v>No</x:v>
      </x:c>
      <x:c r="AC257" s="6" t="str">
        <x:v>p. 10; Table 2</x:v>
      </x:c>
      <x:c r="AD257" s="6" t="str">
        <x:v>Qwen3-Coder-30B-A3B-Instruct-FP8</x:v>
      </x:c>
    </x:row>
    <x:row r="258" ht="76" customHeight="1">
      <x:c r="A258" s="2" t="str">
        <x:v>S23</x:v>
      </x:c>
      <x:c r="B258" s="2" t="str">
        <x:v>2024</x:v>
      </x:c>
      <x:c r="C258" s="2" t="str">
        <x:v>Published</x:v>
      </x:c>
      <x:c r="D258" s="6" t="str">
        <x:v>Code Gradients: Towards Automated Traceability of LLM-Generated Code</x:v>
      </x:c>
      <x:c r="E258" s="2" t="str">
        <x:v>S23-MU01</x:v>
      </x:c>
      <x:c r="F258" s="2" t="str">
        <x:v>S23-O01</x:v>
      </x:c>
      <x:c r="G258" s="2" t="str">
        <x:v>S23-T01</x:v>
      </x:c>
      <x:c r="H258" s="2" t="str">
        <x:v>WizardCoder 1b</x:v>
      </x:c>
      <x:c r="I258" s="2" t="str">
        <x:v>WizardCoder 1B</x:v>
      </x:c>
      <x:c r="J258" s="2" t="str">
        <x:v>WizardCoder</x:v>
      </x:c>
      <x:c r="K258" s="2" t="str">
        <x:v>WizardCoder 1B</x:v>
      </x:c>
      <x:c r="L258" s="2" t="str">
        <x:v>Unclear</x:v>
      </x:c>
      <x:c r="M258" s="2" t="str">
        <x:v>Open weights</x:v>
      </x:c>
      <x:c r="N258" s="6" t="str">
        <x:v>Inferred from identified model family</x:v>
      </x:c>
      <x:c r="O258" s="2" t="str">
        <x:v>Yes</x:v>
      </x:c>
      <x:c r="P258" s="2" t="str"/>
      <x:c r="Q258" s="2" t="str">
        <x:v>Local</x:v>
      </x:c>
      <x:c r="R258" s="2" t="str">
        <x:v>NR</x:v>
      </x:c>
      <x:c r="S258" s="2" t="str">
        <x:v>NR</x:v>
      </x:c>
      <x:c r="T258" s="2" t="str">
        <x:v>1B</x:v>
      </x:c>
      <x:c r="U258" s="2" t="str">
        <x:v>NR</x:v>
      </x:c>
      <x:c r="V258" s="2" t="str">
        <x:v>NR</x:v>
      </x:c>
      <x:c r="W258" s="2" t="str">
        <x:v>NR</x:v>
      </x:c>
      <x:c r="X258" s="2" t="str">
        <x:v>NR</x:v>
      </x:c>
      <x:c r="Y258" s="2" t="str">
        <x:v>NR</x:v>
      </x:c>
      <x:c r="Z258" s="2" t="str">
        <x:v>NR</x:v>
      </x:c>
      <x:c r="AA258" s="2" t="str">
        <x:v>No</x:v>
      </x:c>
      <x:c r="AB258" s="2" t="str">
        <x:v>No</x:v>
      </x:c>
      <x:c r="AC258" s="6" t="str">
        <x:v>p. 5; Section III-E</x:v>
      </x:c>
      <x:c r="AD258" s="6" t="str">
        <x:v>We test our technique on four different models (two different sizes of each of the following two architectures):</x:v>
      </x:c>
    </x:row>
    <x:row r="259" ht="76" customHeight="1">
      <x:c r="A259" s="2" t="str">
        <x:v>S23</x:v>
      </x:c>
      <x:c r="B259" s="2" t="str">
        <x:v>2024</x:v>
      </x:c>
      <x:c r="C259" s="2" t="str">
        <x:v>Published</x:v>
      </x:c>
      <x:c r="D259" s="6" t="str">
        <x:v>Code Gradients: Towards Automated Traceability of LLM-Generated Code</x:v>
      </x:c>
      <x:c r="E259" s="2" t="str">
        <x:v>S23-MU02</x:v>
      </x:c>
      <x:c r="F259" s="2" t="str">
        <x:v>S23-O02</x:v>
      </x:c>
      <x:c r="G259" s="2" t="str">
        <x:v>S23-T02</x:v>
      </x:c>
      <x:c r="H259" s="2" t="str">
        <x:v>WizardCoder 1b</x:v>
      </x:c>
      <x:c r="I259" s="2" t="str">
        <x:v>WizardCoder 1B</x:v>
      </x:c>
      <x:c r="J259" s="2" t="str">
        <x:v>WizardCoder</x:v>
      </x:c>
      <x:c r="K259" s="2" t="str">
        <x:v>WizardCoder 1B</x:v>
      </x:c>
      <x:c r="L259" s="2" t="str">
        <x:v>Unclear</x:v>
      </x:c>
      <x:c r="M259" s="2" t="str">
        <x:v>Open weights</x:v>
      </x:c>
      <x:c r="N259" s="6" t="str">
        <x:v>Inferred from identified model family</x:v>
      </x:c>
      <x:c r="O259" s="2" t="str">
        <x:v>Yes</x:v>
      </x:c>
      <x:c r="P259" s="2" t="str"/>
      <x:c r="Q259" s="2" t="str">
        <x:v>Local</x:v>
      </x:c>
      <x:c r="R259" s="2" t="str">
        <x:v>NR</x:v>
      </x:c>
      <x:c r="S259" s="2" t="str">
        <x:v>NR</x:v>
      </x:c>
      <x:c r="T259" s="2" t="str">
        <x:v>1B</x:v>
      </x:c>
      <x:c r="U259" s="2" t="str">
        <x:v>NR</x:v>
      </x:c>
      <x:c r="V259" s="2" t="str">
        <x:v>NR</x:v>
      </x:c>
      <x:c r="W259" s="2" t="str">
        <x:v>NR</x:v>
      </x:c>
      <x:c r="X259" s="2" t="str">
        <x:v>NR</x:v>
      </x:c>
      <x:c r="Y259" s="2" t="str">
        <x:v>NR</x:v>
      </x:c>
      <x:c r="Z259" s="2" t="str">
        <x:v>NR</x:v>
      </x:c>
      <x:c r="AA259" s="2" t="str">
        <x:v>No</x:v>
      </x:c>
      <x:c r="AB259" s="2" t="str">
        <x:v>No</x:v>
      </x:c>
      <x:c r="AC259" s="6" t="str">
        <x:v>p. 5; Section III-E</x:v>
      </x:c>
      <x:c r="AD259" s="6" t="str">
        <x:v>We test our technique on four different models (two different sizes of each of the following two architectures):</x:v>
      </x:c>
    </x:row>
    <x:row r="260" ht="76" customHeight="1">
      <x:c r="A260" s="2" t="str">
        <x:v>S23</x:v>
      </x:c>
      <x:c r="B260" s="2" t="str">
        <x:v>2024</x:v>
      </x:c>
      <x:c r="C260" s="2" t="str">
        <x:v>Published</x:v>
      </x:c>
      <x:c r="D260" s="6" t="str">
        <x:v>Code Gradients: Towards Automated Traceability of LLM-Generated Code</x:v>
      </x:c>
      <x:c r="E260" s="2" t="str">
        <x:v>S23-MU03</x:v>
      </x:c>
      <x:c r="F260" s="2" t="str">
        <x:v>S23-O01</x:v>
      </x:c>
      <x:c r="G260" s="2" t="str">
        <x:v>S23-T01</x:v>
      </x:c>
      <x:c r="H260" s="2" t="str">
        <x:v>WizardCoder 3b</x:v>
      </x:c>
      <x:c r="I260" s="2" t="str">
        <x:v>WizardCoder 3B</x:v>
      </x:c>
      <x:c r="J260" s="2" t="str">
        <x:v>WizardCoder</x:v>
      </x:c>
      <x:c r="K260" s="2" t="str">
        <x:v>WizardCoder 3B</x:v>
      </x:c>
      <x:c r="L260" s="2" t="str">
        <x:v>Unclear</x:v>
      </x:c>
      <x:c r="M260" s="2" t="str">
        <x:v>Open weights</x:v>
      </x:c>
      <x:c r="N260" s="6" t="str">
        <x:v>Inferred from identified model family</x:v>
      </x:c>
      <x:c r="O260" s="2" t="str">
        <x:v>Yes</x:v>
      </x:c>
      <x:c r="P260" s="2" t="str"/>
      <x:c r="Q260" s="2" t="str">
        <x:v>Local</x:v>
      </x:c>
      <x:c r="R260" s="2" t="str">
        <x:v>NR</x:v>
      </x:c>
      <x:c r="S260" s="2" t="str">
        <x:v>NR</x:v>
      </x:c>
      <x:c r="T260" s="2" t="str">
        <x:v>3B</x:v>
      </x:c>
      <x:c r="U260" s="2" t="str">
        <x:v>NR</x:v>
      </x:c>
      <x:c r="V260" s="2" t="str">
        <x:v>NR</x:v>
      </x:c>
      <x:c r="W260" s="2" t="str">
        <x:v>NR</x:v>
      </x:c>
      <x:c r="X260" s="2" t="str">
        <x:v>NR</x:v>
      </x:c>
      <x:c r="Y260" s="2" t="str">
        <x:v>NR</x:v>
      </x:c>
      <x:c r="Z260" s="2" t="str">
        <x:v>NR</x:v>
      </x:c>
      <x:c r="AA260" s="2" t="str">
        <x:v>No</x:v>
      </x:c>
      <x:c r="AB260" s="2" t="str">
        <x:v>No</x:v>
      </x:c>
      <x:c r="AC260" s="6" t="str">
        <x:v>p. 5; Section III-E</x:v>
      </x:c>
      <x:c r="AD260" s="6" t="str">
        <x:v>We test our technique on four different models (two different sizes of each of the following two architectures):</x:v>
      </x:c>
    </x:row>
    <x:row r="261" ht="76" customHeight="1">
      <x:c r="A261" s="2" t="str">
        <x:v>S23</x:v>
      </x:c>
      <x:c r="B261" s="2" t="str">
        <x:v>2024</x:v>
      </x:c>
      <x:c r="C261" s="2" t="str">
        <x:v>Published</x:v>
      </x:c>
      <x:c r="D261" s="6" t="str">
        <x:v>Code Gradients: Towards Automated Traceability of LLM-Generated Code</x:v>
      </x:c>
      <x:c r="E261" s="2" t="str">
        <x:v>S23-MU04</x:v>
      </x:c>
      <x:c r="F261" s="2" t="str">
        <x:v>S23-O02</x:v>
      </x:c>
      <x:c r="G261" s="2" t="str">
        <x:v>S23-T02</x:v>
      </x:c>
      <x:c r="H261" s="2" t="str">
        <x:v>WizardCoder 3b</x:v>
      </x:c>
      <x:c r="I261" s="2" t="str">
        <x:v>WizardCoder 3B</x:v>
      </x:c>
      <x:c r="J261" s="2" t="str">
        <x:v>WizardCoder</x:v>
      </x:c>
      <x:c r="K261" s="2" t="str">
        <x:v>WizardCoder 3B</x:v>
      </x:c>
      <x:c r="L261" s="2" t="str">
        <x:v>Unclear</x:v>
      </x:c>
      <x:c r="M261" s="2" t="str">
        <x:v>Open weights</x:v>
      </x:c>
      <x:c r="N261" s="6" t="str">
        <x:v>Inferred from identified model family</x:v>
      </x:c>
      <x:c r="O261" s="2" t="str">
        <x:v>Yes</x:v>
      </x:c>
      <x:c r="P261" s="2" t="str"/>
      <x:c r="Q261" s="2" t="str">
        <x:v>Local</x:v>
      </x:c>
      <x:c r="R261" s="2" t="str">
        <x:v>NR</x:v>
      </x:c>
      <x:c r="S261" s="2" t="str">
        <x:v>NR</x:v>
      </x:c>
      <x:c r="T261" s="2" t="str">
        <x:v>3B</x:v>
      </x:c>
      <x:c r="U261" s="2" t="str">
        <x:v>NR</x:v>
      </x:c>
      <x:c r="V261" s="2" t="str">
        <x:v>NR</x:v>
      </x:c>
      <x:c r="W261" s="2" t="str">
        <x:v>NR</x:v>
      </x:c>
      <x:c r="X261" s="2" t="str">
        <x:v>NR</x:v>
      </x:c>
      <x:c r="Y261" s="2" t="str">
        <x:v>NR</x:v>
      </x:c>
      <x:c r="Z261" s="2" t="str">
        <x:v>NR</x:v>
      </x:c>
      <x:c r="AA261" s="2" t="str">
        <x:v>No</x:v>
      </x:c>
      <x:c r="AB261" s="2" t="str">
        <x:v>No</x:v>
      </x:c>
      <x:c r="AC261" s="6" t="str">
        <x:v>p. 5; Section III-E</x:v>
      </x:c>
      <x:c r="AD261" s="6" t="str">
        <x:v>We test our technique on four different models (two different sizes of each of the following two architectures):</x:v>
      </x:c>
    </x:row>
    <x:row r="262" ht="76" customHeight="1">
      <x:c r="A262" s="2" t="str">
        <x:v>G1</x:v>
      </x:c>
      <x:c r="B262" s="2" t="str"/>
      <x:c r="C262" s="2" t="str">
        <x:v>Grey literature</x:v>
      </x:c>
      <x:c r="D262" s="6" t="str"/>
      <x:c r="E262" s="2" t="str">
        <x:v>G1-MU01</x:v>
      </x:c>
      <x:c r="F262" s="2" t="str">
        <x:v>G1-O01</x:v>
      </x:c>
      <x:c r="G262" s="2" t="str">
        <x:v>G1-T01</x:v>
      </x:c>
      <x:c r="H262" s="2" t="str">
        <x:v>chat gpd (version 3.5)</x:v>
      </x:c>
      <x:c r="I262" s="2" t="str">
        <x:v>ChatGPT 3.5</x:v>
      </x:c>
      <x:c r="J262" s="2" t="str">
        <x:v>GPT</x:v>
      </x:c>
      <x:c r="K262" s="2" t="str">
        <x:v>GPT-3.5</x:v>
      </x:c>
      <x:c r="L262" s="2" t="str">
        <x:v>Closed</x:v>
      </x:c>
      <x:c r="M262" s="2" t="str">
        <x:v>Closed</x:v>
      </x:c>
      <x:c r="N262" s="6" t="str">
        <x:v>Identified ChatGPT service and reported version</x:v>
      </x:c>
      <x:c r="O262" s="2" t="str">
        <x:v>Yes</x:v>
      </x:c>
      <x:c r="P262" s="2" t="str"/>
      <x:c r="Q262" s="2" t="str">
        <x:v>Unclear</x:v>
      </x:c>
      <x:c r="R262" s="2" t="str">
        <x:v>NR</x:v>
      </x:c>
      <x:c r="S262" s="2" t="str">
        <x:v>3.5</x:v>
      </x:c>
      <x:c r="T262" s="2" t="str">
        <x:v>NR</x:v>
      </x:c>
      <x:c r="U262" s="2" t="str">
        <x:v>NR</x:v>
      </x:c>
      <x:c r="V262" s="2" t="str">
        <x:v>NR</x:v>
      </x:c>
      <x:c r="W262" s="2" t="str">
        <x:v>NR</x:v>
      </x:c>
      <x:c r="X262" s="2" t="str">
        <x:v>NR</x:v>
      </x:c>
      <x:c r="Y262" s="2" t="str">
        <x:v>NR</x:v>
      </x:c>
      <x:c r="Z262" s="2" t="str">
        <x:v>NR</x:v>
      </x:c>
      <x:c r="AA262" s="2" t="str">
        <x:v>No</x:v>
      </x:c>
      <x:c r="AB262" s="2" t="str">
        <x:v>No</x:v>
      </x:c>
      <x:c r="AC262" s="6" t="str">
        <x:v>G1_video_page.png (upload date field, title, view count, likes) ; G1_page_description.png (view count, description text, hashtags, Udemy course links and coupon code) ; [00:00] ; [00:33] ; [00:37] ; [00:50] ; [01:18] ; [02:27] ; [02:33] ; [02:55] ; [03:17] ; [03:41] ; [03:52] ; [04:27] ; [05:04] ; [06:46] </x:v>
      </x:c>
      <x:c r="AD262"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row>
    <x:row r="263" ht="76" customHeight="1">
      <x:c r="A263" s="2" t="str">
        <x:v>G1</x:v>
      </x:c>
      <x:c r="B263" s="2" t="str"/>
      <x:c r="C263" s="2" t="str">
        <x:v>Grey literature</x:v>
      </x:c>
      <x:c r="D263" s="6" t="str"/>
      <x:c r="E263" s="2" t="str">
        <x:v>G1-MU02</x:v>
      </x:c>
      <x:c r="F263" s="2" t="str">
        <x:v>G1-O02</x:v>
      </x:c>
      <x:c r="G263" s="2" t="str">
        <x:v>G1-T02</x:v>
      </x:c>
      <x:c r="H263" s="2" t="str">
        <x:v>chat gpd4</x:v>
      </x:c>
      <x:c r="I263" s="2" t="str">
        <x:v>ChatGPT 4</x:v>
      </x:c>
      <x:c r="J263" s="2" t="str">
        <x:v>GPT</x:v>
      </x:c>
      <x:c r="K263" s="2" t="str">
        <x:v>GPT-4</x:v>
      </x:c>
      <x:c r="L263" s="2" t="str">
        <x:v>Closed</x:v>
      </x:c>
      <x:c r="M263" s="2" t="str">
        <x:v>Closed</x:v>
      </x:c>
      <x:c r="N263" s="6" t="str">
        <x:v>Identified ChatGPT service and reported version</x:v>
      </x:c>
      <x:c r="O263" s="2" t="str">
        <x:v>Yes</x:v>
      </x:c>
      <x:c r="P263" s="2" t="str"/>
      <x:c r="Q263" s="2" t="str">
        <x:v>Unclear</x:v>
      </x:c>
      <x:c r="R263" s="2" t="str">
        <x:v>NR</x:v>
      </x:c>
      <x:c r="S263" s="2" t="str">
        <x:v>4</x:v>
      </x:c>
      <x:c r="T263" s="2" t="str">
        <x:v>NR</x:v>
      </x:c>
      <x:c r="U263" s="2" t="str">
        <x:v>NR</x:v>
      </x:c>
      <x:c r="V263" s="2" t="str">
        <x:v>NR</x:v>
      </x:c>
      <x:c r="W263" s="2" t="str">
        <x:v>NR</x:v>
      </x:c>
      <x:c r="X263" s="2" t="str">
        <x:v>NR</x:v>
      </x:c>
      <x:c r="Y263" s="2" t="str">
        <x:v>NR</x:v>
      </x:c>
      <x:c r="Z263" s="2" t="str">
        <x:v>NR</x:v>
      </x:c>
      <x:c r="AA263" s="2" t="str">
        <x:v>No</x:v>
      </x:c>
      <x:c r="AB263" s="2" t="str">
        <x:v>No</x:v>
      </x:c>
      <x:c r="AC263" s="6" t="str">
        <x:v>G1_video_page.png (upload date field, title, view count, likes) ; G1_page_description.png (view count, description text, hashtags, Udemy course links and coupon code) ; [00:00] ; [00:33] ; [00:37] ; [00:50] ; [01:18] ; [02:27] ; [02:33] ; [02:55] ; [03:17] ; [03:41] ; [03:52] ; [04:27] ; [05:04] ; [06:46] </x:v>
      </x:c>
      <x:c r="AD263"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row>
    <x:row r="264" ht="76" customHeight="1">
      <x:c r="A264" s="2" t="str">
        <x:v>G1</x:v>
      </x:c>
      <x:c r="B264" s="2" t="str"/>
      <x:c r="C264" s="2" t="str">
        <x:v>Grey literature</x:v>
      </x:c>
      <x:c r="D264" s="6" t="str"/>
      <x:c r="E264" s="2" t="str">
        <x:v>G1-MU03</x:v>
      </x:c>
      <x:c r="F264" s="2" t="str">
        <x:v>G1-O03</x:v>
      </x:c>
      <x:c r="G264" s="2" t="str">
        <x:v>G1-T02</x:v>
      </x:c>
      <x:c r="H264" s="2" t="str">
        <x:v>chat gpd4</x:v>
      </x:c>
      <x:c r="I264" s="2" t="str">
        <x:v>ChatGPT 4</x:v>
      </x:c>
      <x:c r="J264" s="2" t="str">
        <x:v>GPT</x:v>
      </x:c>
      <x:c r="K264" s="2" t="str">
        <x:v>GPT-4</x:v>
      </x:c>
      <x:c r="L264" s="2" t="str">
        <x:v>Closed</x:v>
      </x:c>
      <x:c r="M264" s="2" t="str">
        <x:v>Closed</x:v>
      </x:c>
      <x:c r="N264" s="6" t="str">
        <x:v>Identified ChatGPT service and reported version</x:v>
      </x:c>
      <x:c r="O264" s="2" t="str">
        <x:v>Yes</x:v>
      </x:c>
      <x:c r="P264" s="2" t="str"/>
      <x:c r="Q264" s="2" t="str">
        <x:v>Unclear</x:v>
      </x:c>
      <x:c r="R264" s="2" t="str">
        <x:v>NR</x:v>
      </x:c>
      <x:c r="S264" s="2" t="str">
        <x:v>4</x:v>
      </x:c>
      <x:c r="T264" s="2" t="str">
        <x:v>NR</x:v>
      </x:c>
      <x:c r="U264" s="2" t="str">
        <x:v>NR</x:v>
      </x:c>
      <x:c r="V264" s="2" t="str">
        <x:v>NR</x:v>
      </x:c>
      <x:c r="W264" s="2" t="str">
        <x:v>NR</x:v>
      </x:c>
      <x:c r="X264" s="2" t="str">
        <x:v>NR</x:v>
      </x:c>
      <x:c r="Y264" s="2" t="str">
        <x:v>NR</x:v>
      </x:c>
      <x:c r="Z264" s="2" t="str">
        <x:v>NR</x:v>
      </x:c>
      <x:c r="AA264" s="2" t="str">
        <x:v>No</x:v>
      </x:c>
      <x:c r="AB264" s="2" t="str">
        <x:v>No</x:v>
      </x:c>
      <x:c r="AC264" s="6" t="str">
        <x:v>G1_video_page.png (upload date field, title, view count, likes) ; G1_page_description.png (view count, description text, hashtags, Udemy course links and coupon code) ; [00:00] ; [00:33] ; [00:37] ; [00:50] ; [01:18] ; [02:27] ; [02:33] ; [02:55] ; [03:17] ; [03:41] ; [03:52] ; [04:27] ; [05:04] ; [06:46] </x:v>
      </x:c>
      <x:c r="AD264"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row>
    <x:row r="265" ht="76" customHeight="1">
      <x:c r="A265" s="2" t="str">
        <x:v>G2</x:v>
      </x:c>
      <x:c r="B265" s="2" t="str"/>
      <x:c r="C265" s="2" t="str">
        <x:v>Grey literature</x:v>
      </x:c>
      <x:c r="D265" s="6" t="str"/>
      <x:c r="E265" s="2" t="str">
        <x:v>G2-MU01</x:v>
      </x:c>
      <x:c r="F265" s="2" t="str">
        <x:v>G2-O01</x:v>
      </x:c>
      <x:c r="G265" s="2" t="str">
        <x:v>G2-T01</x:v>
      </x:c>
      <x:c r="H265" s="2" t="str">
        <x:v>largely pre-trained models (the talk also refers to chat gbt 4 or 3.5)</x:v>
      </x:c>
      <x:c r="I265" s="2" t="str">
        <x:v>NR</x:v>
      </x:c>
      <x:c r="J265" s="2" t="str">
        <x:v>NR</x:v>
      </x:c>
      <x:c r="K265" s="2" t="str">
        <x:v>Model not identifiable</x:v>
      </x:c>
      <x:c r="L265" s="2" t="str">
        <x:v>NR</x:v>
      </x:c>
      <x:c r="M265" s="2" t="str">
        <x:v>NR</x:v>
      </x:c>
      <x:c r="N265" s="6" t="str"/>
      <x:c r="O265" s="2" t="str">
        <x:v>No</x:v>
      </x:c>
      <x:c r="P265" s="2" t="str">
        <x:v>No identifiable target LLM model or service</x:v>
      </x:c>
      <x:c r="Q265" s="2" t="str">
        <x:v>NR</x:v>
      </x:c>
      <x:c r="R265" s="2" t="str">
        <x:v>NR</x:v>
      </x:c>
      <x:c r="S265" s="2" t="str">
        <x:v>NR</x:v>
      </x:c>
      <x:c r="T265" s="2" t="str">
        <x:v>NR</x:v>
      </x:c>
      <x:c r="U265" s="2" t="str">
        <x:v>NR</x:v>
      </x:c>
      <x:c r="V265" s="2" t="str">
        <x:v>NR</x:v>
      </x:c>
      <x:c r="W265" s="2" t="str">
        <x:v>NR</x:v>
      </x:c>
      <x:c r="X265" s="2" t="str">
        <x:v>NR</x:v>
      </x:c>
      <x:c r="Y265" s="2" t="str">
        <x:v>NR</x:v>
      </x:c>
      <x:c r="Z265" s="2" t="str">
        <x:v>NR</x:v>
      </x:c>
      <x:c r="AA265" s="2" t="str">
        <x:v>No</x:v>
      </x:c>
      <x:c r="AB265" s="2" t="str">
        <x:v>Yes (95% of time saved is reported as a partner estimate)</x:v>
      </x:c>
      <x:c r="AC265" s="6" t="str">
        <x:v>G2_video_page.png (title, speaker and affiliation slide, channel, view count, likes) ; G2_page_description.png (page date, speaker attribution, description text, links) ; [00:59] ; [07:19] ; [07:32] ; [09:38] ; [10:14] ; [12:17] ; [12:24] ; [14:08] ; [17:39] ; [21:09] ; [26:46] ; [32:49] ; [37:01] ; [38:58] ; [39:01] ; [39:17] ; [40:47] </x:v>
      </x:c>
      <x:c r="AD265"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row>
    <x:row r="266" ht="76" customHeight="1">
      <x:c r="A266" s="2" t="str">
        <x:v>G2</x:v>
      </x:c>
      <x:c r="B266" s="2" t="str"/>
      <x:c r="C266" s="2" t="str">
        <x:v>Grey literature</x:v>
      </x:c>
      <x:c r="D266" s="6" t="str"/>
      <x:c r="E266" s="2" t="str">
        <x:v>G2-MU02</x:v>
      </x:c>
      <x:c r="F266" s="2" t="str">
        <x:v>G2-O02</x:v>
      </x:c>
      <x:c r="G266" s="2" t="str">
        <x:v>G2-T01</x:v>
      </x:c>
      <x:c r="H266" s="2" t="str">
        <x:v>largely pre-trained models</x:v>
      </x:c>
      <x:c r="I266" s="2" t="str">
        <x:v>NR</x:v>
      </x:c>
      <x:c r="J266" s="2" t="str">
        <x:v>NR</x:v>
      </x:c>
      <x:c r="K266" s="2" t="str">
        <x:v>Model not identifiable</x:v>
      </x:c>
      <x:c r="L266" s="2" t="str">
        <x:v>NR</x:v>
      </x:c>
      <x:c r="M266" s="2" t="str">
        <x:v>NR</x:v>
      </x:c>
      <x:c r="N266" s="6" t="str"/>
      <x:c r="O266" s="2" t="str">
        <x:v>No</x:v>
      </x:c>
      <x:c r="P266" s="2" t="str">
        <x:v>No identifiable target LLM model or service</x:v>
      </x:c>
      <x:c r="Q266" s="2" t="str">
        <x:v>NR</x:v>
      </x:c>
      <x:c r="R266" s="2" t="str">
        <x:v>NR</x:v>
      </x:c>
      <x:c r="S266" s="2" t="str">
        <x:v>NR</x:v>
      </x:c>
      <x:c r="T266" s="2" t="str">
        <x:v>NR</x:v>
      </x:c>
      <x:c r="U266" s="2" t="str">
        <x:v>NR</x:v>
      </x:c>
      <x:c r="V266" s="2" t="str">
        <x:v>NR</x:v>
      </x:c>
      <x:c r="W266" s="2" t="str">
        <x:v>NR</x:v>
      </x:c>
      <x:c r="X266" s="2" t="str">
        <x:v>NR</x:v>
      </x:c>
      <x:c r="Y266" s="2" t="str">
        <x:v>NR</x:v>
      </x:c>
      <x:c r="Z266" s="2" t="str">
        <x:v>NR</x:v>
      </x:c>
      <x:c r="AA266" s="2" t="str">
        <x:v>No</x:v>
      </x:c>
      <x:c r="AB266" s="2" t="str">
        <x:v>Yes (95% of time saved is reported as a partner estimate)</x:v>
      </x:c>
      <x:c r="AC266" s="6" t="str">
        <x:v>G2_video_page.png (title, speaker and affiliation slide, channel, view count, likes) ; G2_page_description.png (page date, speaker attribution, description text, links) ; [00:59] ; [07:19] ; [07:32] ; [09:38] ; [10:14] ; [12:17] ; [12:24] ; [14:08] ; [17:39] ; [21:09] ; [26:46] ; [32:49] ; [37:01] ; [38:58] ; [39:01] ; [39:17] ; [40:47] </x:v>
      </x:c>
      <x:c r="AD266"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row>
    <x:row r="267" ht="76" customHeight="1">
      <x:c r="A267" s="2" t="str">
        <x:v>G2</x:v>
      </x:c>
      <x:c r="B267" s="2" t="str"/>
      <x:c r="C267" s="2" t="str">
        <x:v>Grey literature</x:v>
      </x:c>
      <x:c r="D267" s="6" t="str"/>
      <x:c r="E267" s="2" t="str">
        <x:v>G2-MU03</x:v>
      </x:c>
      <x:c r="F267" s="2" t="str">
        <x:v>G2-O03</x:v>
      </x:c>
      <x:c r="G267" s="2" t="str">
        <x:v>G2-T01</x:v>
      </x:c>
      <x:c r="H267" s="2" t="str">
        <x:v>largely pre-trained models</x:v>
      </x:c>
      <x:c r="I267" s="2" t="str">
        <x:v>NR</x:v>
      </x:c>
      <x:c r="J267" s="2" t="str">
        <x:v>NR</x:v>
      </x:c>
      <x:c r="K267" s="2" t="str">
        <x:v>Model not identifiable</x:v>
      </x:c>
      <x:c r="L267" s="2" t="str">
        <x:v>NR</x:v>
      </x:c>
      <x:c r="M267" s="2" t="str">
        <x:v>NR</x:v>
      </x:c>
      <x:c r="N267" s="6" t="str"/>
      <x:c r="O267" s="2" t="str">
        <x:v>No</x:v>
      </x:c>
      <x:c r="P267" s="2" t="str">
        <x:v>No identifiable target LLM model or service</x:v>
      </x:c>
      <x:c r="Q267" s="2" t="str">
        <x:v>NR</x:v>
      </x:c>
      <x:c r="R267" s="2" t="str">
        <x:v>NR</x:v>
      </x:c>
      <x:c r="S267" s="2" t="str">
        <x:v>NR</x:v>
      </x:c>
      <x:c r="T267" s="2" t="str">
        <x:v>NR</x:v>
      </x:c>
      <x:c r="U267" s="2" t="str">
        <x:v>NR</x:v>
      </x:c>
      <x:c r="V267" s="2" t="str">
        <x:v>NR</x:v>
      </x:c>
      <x:c r="W267" s="2" t="str">
        <x:v>NR</x:v>
      </x:c>
      <x:c r="X267" s="2" t="str">
        <x:v>NR</x:v>
      </x:c>
      <x:c r="Y267" s="2" t="str">
        <x:v>NR</x:v>
      </x:c>
      <x:c r="Z267" s="2" t="str">
        <x:v>NR</x:v>
      </x:c>
      <x:c r="AA267" s="2" t="str">
        <x:v>No</x:v>
      </x:c>
      <x:c r="AB267" s="2" t="str">
        <x:v>Yes (95% of time saved is reported as a partner estimate)</x:v>
      </x:c>
      <x:c r="AC267" s="6" t="str">
        <x:v>G2_video_page.png (title, speaker and affiliation slide, channel, view count, likes) ; G2_page_description.png (page date, speaker attribution, description text, links) ; [00:59] ; [07:19] ; [07:32] ; [09:38] ; [10:14] ; [12:17] ; [12:24] ; [14:08] ; [17:39] ; [21:09] ; [26:46] ; [32:49] ; [37:01] ; [38:58] ; [39:01] ; [39:17] ; [40:47] </x:v>
      </x:c>
      <x:c r="AD267"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row>
    <x:row r="268" ht="76" customHeight="1">
      <x:c r="A268" s="2" t="str">
        <x:v>G3</x:v>
      </x:c>
      <x:c r="B268" s="2" t="str"/>
      <x:c r="C268" s="2" t="str">
        <x:v>Grey literature</x:v>
      </x:c>
      <x:c r="D268" s="6" t="str"/>
      <x:c r="E268" s="2" t="str">
        <x:v>G3-MU02</x:v>
      </x:c>
      <x:c r="F268" s="2" t="str">
        <x:v>G3-O02</x:v>
      </x:c>
      <x:c r="G268" s="2" t="str">
        <x:v>G3-T01</x:v>
      </x:c>
      <x:c r="H268" s="2" t="str">
        <x:v>NR</x:v>
      </x:c>
      <x:c r="I268" s="2" t="str">
        <x:v>NR</x:v>
      </x:c>
      <x:c r="J268" s="2" t="str">
        <x:v>NR</x:v>
      </x:c>
      <x:c r="K268" s="2" t="str">
        <x:v>Model not identifiable</x:v>
      </x:c>
      <x:c r="L268" s="2" t="str">
        <x:v>NR</x:v>
      </x:c>
      <x:c r="M268" s="2" t="str">
        <x:v>NR</x:v>
      </x:c>
      <x:c r="N268" s="6" t="str"/>
      <x:c r="O268" s="2" t="str">
        <x:v>No</x:v>
      </x:c>
      <x:c r="P268" s="2" t="str">
        <x:v>No identifiable target LLM model or service</x:v>
      </x:c>
      <x:c r="Q268" s="2" t="str">
        <x:v>NR</x:v>
      </x:c>
      <x:c r="R268" s="2" t="str">
        <x:v>NR</x:v>
      </x:c>
      <x:c r="S268" s="2" t="str">
        <x:v>NR</x:v>
      </x:c>
      <x:c r="T268" s="2" t="str">
        <x:v>NR</x:v>
      </x:c>
      <x:c r="U268" s="2" t="str">
        <x:v>NR</x:v>
      </x:c>
      <x:c r="V268" s="2" t="str">
        <x:v>NR</x:v>
      </x:c>
      <x:c r="W268" s="2" t="str">
        <x:v>NR</x:v>
      </x:c>
      <x:c r="X268" s="2" t="str">
        <x:v>NR</x:v>
      </x:c>
      <x:c r="Y268" s="2" t="str">
        <x:v>NR</x:v>
      </x:c>
      <x:c r="Z268" s="2" t="str">
        <x:v>NR</x:v>
      </x:c>
      <x:c r="AA268" s="2" t="str">
        <x:v>No</x:v>
      </x:c>
      <x:c r="AB268" s="2" t="str">
        <x:v>No</x:v>
      </x:c>
      <x:c r="AC268" s="6" t="str">
        <x:v>G3_video_page.png (title, channel, view count, likes) ; G3_page_description.png (page date, description text, feature list, uploading account) ; [00:01] ; [00:10] ; [00:30] ; [00:45] ; [00:54] ; [01:04] ; [01:14] ; [01:26] ; [01:32] ; [01:39] ; [02:05] ; [02:15] ; [02:56] ; [03:13] </x:v>
      </x:c>
      <x:c r="AD268" s="6" t="str">
        <x:v>a graph-based requirements traceability platform built using fast api, fast api, neo4j, neo4j, and react, react ; converts it to text using open ai whisper ; each node represents a requirement, stakeholder, test case, feature, constraint, team or entity ; edges represent traceability links ; 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row>
    <x:row r="269" ht="76" customHeight="1">
      <x:c r="A269" s="2" t="str">
        <x:v>G4</x:v>
      </x:c>
      <x:c r="B269" s="2" t="str"/>
      <x:c r="C269" s="2" t="str">
        <x:v>Grey literature</x:v>
      </x:c>
      <x:c r="D269" s="6" t="str"/>
      <x:c r="E269" s="2" t="str">
        <x:v>G4-MU01</x:v>
      </x:c>
      <x:c r="F269" s="2" t="str">
        <x:v>G4-O01</x:v>
      </x:c>
      <x:c r="G269" s="2" t="str">
        <x:v>G4-T01</x:v>
      </x:c>
      <x:c r="H269" s="2" t="str">
        <x:v>NR</x:v>
      </x:c>
      <x:c r="I269" s="2" t="str">
        <x:v>NR</x:v>
      </x:c>
      <x:c r="J269" s="2" t="str">
        <x:v>NR</x:v>
      </x:c>
      <x:c r="K269" s="2" t="str">
        <x:v>Model not identifiable</x:v>
      </x:c>
      <x:c r="L269" s="2" t="str">
        <x:v>Unclear</x:v>
      </x:c>
      <x:c r="M269" s="2" t="str">
        <x:v>NR</x:v>
      </x:c>
      <x:c r="N269" s="6" t="str"/>
      <x:c r="O269" s="2" t="str">
        <x:v>No</x:v>
      </x:c>
      <x:c r="P269" s="2" t="str">
        <x:v>No identifiable target LLM model or service</x:v>
      </x:c>
      <x:c r="Q269" s="2" t="str">
        <x:v>Hybrid</x:v>
      </x:c>
      <x:c r="R269" s="2" t="str">
        <x:v>On-premises, cloud and hybrid deployment are all stated</x:v>
      </x:c>
      <x:c r="S269" s="2" t="str">
        <x:v>NR</x:v>
      </x:c>
      <x:c r="T269" s="2" t="str">
        <x:v>NR</x:v>
      </x:c>
      <x:c r="U269" s="2" t="str">
        <x:v>NR</x:v>
      </x:c>
      <x:c r="V269" s="2" t="str">
        <x:v>NR</x:v>
      </x:c>
      <x:c r="W269" s="2" t="str">
        <x:v>NR</x:v>
      </x:c>
      <x:c r="X269" s="2" t="str">
        <x:v>NR</x:v>
      </x:c>
      <x:c r="Y269" s="2" t="str">
        <x:v>NR</x:v>
      </x:c>
      <x:c r="Z269" s="2" t="str">
        <x:v>NR</x:v>
      </x:c>
      <x:c r="AA269" s="2" t="str">
        <x:v>No</x:v>
      </x:c>
      <x:c r="AB269" s="2" t="str">
        <x:v>No</x:v>
      </x:c>
      <x:c r="AC269"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AD269" s="6" t="str">
        <x:v>Writing unit tests from requirements is necessary. It is also time-consuming, repetitive, and easy to get wrong. ; Reqs2x uses program slicing and large language models to map requirements to the functions that implement them, generate aligned test cases, and present both for engineer review. Requirements traceability is built in from the start, not added later. ; Import from DOORS, Polarion, or CSV via the Requirements Gateway ; Program slicing identifies which functions implement each requirement ; Nothing is accepted automatically. ; Vector's approach is based on modular, task-specific micro-agents designed for precisely defined use cases within controlled contexts.</x:v>
      </x:c>
    </x:row>
    <x:row r="270" ht="76" customHeight="1">
      <x:c r="A270" s="2" t="str">
        <x:v>G4</x:v>
      </x:c>
      <x:c r="B270" s="2" t="str"/>
      <x:c r="C270" s="2" t="str">
        <x:v>Grey literature</x:v>
      </x:c>
      <x:c r="D270" s="6" t="str"/>
      <x:c r="E270" s="2" t="str">
        <x:v>G4-MU02</x:v>
      </x:c>
      <x:c r="F270" s="2" t="str">
        <x:v>G4-O02</x:v>
      </x:c>
      <x:c r="G270" s="2" t="str">
        <x:v>G4-T02</x:v>
      </x:c>
      <x:c r="H270" s="2" t="str">
        <x:v>NR</x:v>
      </x:c>
      <x:c r="I270" s="2" t="str">
        <x:v>NR</x:v>
      </x:c>
      <x:c r="J270" s="2" t="str">
        <x:v>NR</x:v>
      </x:c>
      <x:c r="K270" s="2" t="str">
        <x:v>Model not identifiable</x:v>
      </x:c>
      <x:c r="L270" s="2" t="str">
        <x:v>Unclear</x:v>
      </x:c>
      <x:c r="M270" s="2" t="str">
        <x:v>NR</x:v>
      </x:c>
      <x:c r="N270" s="6" t="str"/>
      <x:c r="O270" s="2" t="str">
        <x:v>No</x:v>
      </x:c>
      <x:c r="P270" s="2" t="str">
        <x:v>No identifiable target LLM model or service</x:v>
      </x:c>
      <x:c r="Q270" s="2" t="str">
        <x:v>Hybrid</x:v>
      </x:c>
      <x:c r="R270" s="2" t="str">
        <x:v>On-premises, cloud and hybrid deployment are all stated</x:v>
      </x:c>
      <x:c r="S270" s="2" t="str">
        <x:v>NR</x:v>
      </x:c>
      <x:c r="T270" s="2" t="str">
        <x:v>NR</x:v>
      </x:c>
      <x:c r="U270" s="2" t="str">
        <x:v>NR</x:v>
      </x:c>
      <x:c r="V270" s="2" t="str">
        <x:v>NR</x:v>
      </x:c>
      <x:c r="W270" s="2" t="str">
        <x:v>NR</x:v>
      </x:c>
      <x:c r="X270" s="2" t="str">
        <x:v>NR</x:v>
      </x:c>
      <x:c r="Y270" s="2" t="str">
        <x:v>NR</x:v>
      </x:c>
      <x:c r="Z270" s="2" t="str">
        <x:v>NR</x:v>
      </x:c>
      <x:c r="AA270" s="2" t="str">
        <x:v>No</x:v>
      </x:c>
      <x:c r="AB270" s="2" t="str">
        <x:v>No</x:v>
      </x:c>
      <x:c r="AC270"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AD270" s="6" t="str">
        <x:v>Writing unit tests from requirements is necessary. It is also time-consuming, repetitive, and easy to get wrong. ; Reqs2x uses program slicing and large language models to map requirements to the functions that implement them, generate aligned test cases, and present both for engineer review. Requirements traceability is built in from the start, not added later. ; Import from DOORS, Polarion, or CSV via the Requirements Gateway ; Program slicing identifies which functions implement each requirement ; Nothing is accepted automatically. ; Vector's approach is based on modular, task-specific micro-agents designed for precisely defined use cases within controlled contexts.</x:v>
      </x:c>
    </x:row>
    <x:row r="271" ht="76" customHeight="1">
      <x:c r="A271" s="2" t="str">
        <x:v>G5</x:v>
      </x:c>
      <x:c r="B271" s="2" t="str"/>
      <x:c r="C271" s="2" t="str">
        <x:v>Grey literature</x:v>
      </x:c>
      <x:c r="D271" s="6" t="str"/>
      <x:c r="E271" s="2" t="str">
        <x:v>G5-MU01</x:v>
      </x:c>
      <x:c r="F271" s="2" t="str">
        <x:v>G5-O01</x:v>
      </x:c>
      <x:c r="G271" s="2" t="str">
        <x:v>G5-T01</x:v>
      </x:c>
      <x:c r="H271" s="2" t="str">
        <x:v>NR</x:v>
      </x:c>
      <x:c r="I271" s="2" t="str">
        <x:v>NR</x:v>
      </x:c>
      <x:c r="J271" s="2" t="str">
        <x:v>NR</x:v>
      </x:c>
      <x:c r="K271" s="2" t="str">
        <x:v>Model not identifiable</x:v>
      </x:c>
      <x:c r="L271" s="2" t="str">
        <x:v>NR</x:v>
      </x:c>
      <x:c r="M271" s="2" t="str">
        <x:v>NR</x:v>
      </x:c>
      <x:c r="N271" s="6" t="str"/>
      <x:c r="O271" s="2" t="str">
        <x:v>No</x:v>
      </x:c>
      <x:c r="P271" s="2" t="str">
        <x:v>No identifiable target LLM model or service</x:v>
      </x:c>
      <x:c r="Q271" s="2" t="str">
        <x:v>NR</x:v>
      </x:c>
      <x:c r="R271" s="2" t="str">
        <x:v>NR</x:v>
      </x:c>
      <x:c r="S271" s="2" t="str">
        <x:v>NR</x:v>
      </x:c>
      <x:c r="T271" s="2" t="str">
        <x:v>NR</x:v>
      </x:c>
      <x:c r="U271" s="2" t="str">
        <x:v>NR</x:v>
      </x:c>
      <x:c r="V271" s="2" t="str">
        <x:v>NR</x:v>
      </x:c>
      <x:c r="W271" s="2" t="str">
        <x:v>NR</x:v>
      </x:c>
      <x:c r="X271" s="2" t="str">
        <x:v>NR</x:v>
      </x:c>
      <x:c r="Y271" s="2" t="str">
        <x:v>NR</x:v>
      </x:c>
      <x:c r="Z271" s="2" t="str">
        <x:v>NR</x:v>
      </x:c>
      <x:c r="AA271" s="2" t="str">
        <x:v>No</x:v>
      </x:c>
      <x:c r="AB271" s="2" t="str">
        <x:v>No</x:v>
      </x:c>
      <x:c r="AC271"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AD271"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row>
    <x:row r="272" ht="76" customHeight="1">
      <x:c r="A272" s="2" t="str">
        <x:v>G5</x:v>
      </x:c>
      <x:c r="B272" s="2" t="str"/>
      <x:c r="C272" s="2" t="str">
        <x:v>Grey literature</x:v>
      </x:c>
      <x:c r="D272" s="6" t="str"/>
      <x:c r="E272" s="2" t="str">
        <x:v>G5-MU02</x:v>
      </x:c>
      <x:c r="F272" s="2" t="str">
        <x:v>G5-O02</x:v>
      </x:c>
      <x:c r="G272" s="2" t="str">
        <x:v>G5-T02</x:v>
      </x:c>
      <x:c r="H272" s="2" t="str">
        <x:v>NR</x:v>
      </x:c>
      <x:c r="I272" s="2" t="str">
        <x:v>NR</x:v>
      </x:c>
      <x:c r="J272" s="2" t="str">
        <x:v>NR</x:v>
      </x:c>
      <x:c r="K272" s="2" t="str">
        <x:v>Model not identifiable</x:v>
      </x:c>
      <x:c r="L272" s="2" t="str">
        <x:v>NR</x:v>
      </x:c>
      <x:c r="M272" s="2" t="str">
        <x:v>NR</x:v>
      </x:c>
      <x:c r="N272" s="6" t="str"/>
      <x:c r="O272" s="2" t="str">
        <x:v>No</x:v>
      </x:c>
      <x:c r="P272" s="2" t="str">
        <x:v>No identifiable target LLM model or service</x:v>
      </x:c>
      <x:c r="Q272" s="2" t="str">
        <x:v>NR</x:v>
      </x:c>
      <x:c r="R272" s="2" t="str">
        <x:v>NR</x:v>
      </x:c>
      <x:c r="S272" s="2" t="str">
        <x:v>NR</x:v>
      </x:c>
      <x:c r="T272" s="2" t="str">
        <x:v>NR</x:v>
      </x:c>
      <x:c r="U272" s="2" t="str">
        <x:v>NR</x:v>
      </x:c>
      <x:c r="V272" s="2" t="str">
        <x:v>NR</x:v>
      </x:c>
      <x:c r="W272" s="2" t="str">
        <x:v>NR</x:v>
      </x:c>
      <x:c r="X272" s="2" t="str">
        <x:v>NR</x:v>
      </x:c>
      <x:c r="Y272" s="2" t="str">
        <x:v>NR</x:v>
      </x:c>
      <x:c r="Z272" s="2" t="str">
        <x:v>NR</x:v>
      </x:c>
      <x:c r="AA272" s="2" t="str">
        <x:v>No</x:v>
      </x:c>
      <x:c r="AB272" s="2" t="str">
        <x:v>No</x:v>
      </x:c>
      <x:c r="AC272"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AD272"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row>
    <x:row r="273" ht="76" customHeight="1">
      <x:c r="A273" s="2" t="str">
        <x:v>G5</x:v>
      </x:c>
      <x:c r="B273" s="2" t="str"/>
      <x:c r="C273" s="2" t="str">
        <x:v>Grey literature</x:v>
      </x:c>
      <x:c r="D273" s="6" t="str"/>
      <x:c r="E273" s="2" t="str">
        <x:v>G5-MU03</x:v>
      </x:c>
      <x:c r="F273" s="2" t="str">
        <x:v>G5-O03</x:v>
      </x:c>
      <x:c r="G273" s="2" t="str">
        <x:v>G5-T02</x:v>
      </x:c>
      <x:c r="H273" s="2" t="str">
        <x:v>NR</x:v>
      </x:c>
      <x:c r="I273" s="2" t="str">
        <x:v>NR</x:v>
      </x:c>
      <x:c r="J273" s="2" t="str">
        <x:v>NR</x:v>
      </x:c>
      <x:c r="K273" s="2" t="str">
        <x:v>Model not identifiable</x:v>
      </x:c>
      <x:c r="L273" s="2" t="str">
        <x:v>NR</x:v>
      </x:c>
      <x:c r="M273" s="2" t="str">
        <x:v>NR</x:v>
      </x:c>
      <x:c r="N273" s="6" t="str"/>
      <x:c r="O273" s="2" t="str">
        <x:v>No</x:v>
      </x:c>
      <x:c r="P273" s="2" t="str">
        <x:v>No identifiable target LLM model or service</x:v>
      </x:c>
      <x:c r="Q273" s="2" t="str">
        <x:v>NR</x:v>
      </x:c>
      <x:c r="R273" s="2" t="str">
        <x:v>NR</x:v>
      </x:c>
      <x:c r="S273" s="2" t="str">
        <x:v>NR</x:v>
      </x:c>
      <x:c r="T273" s="2" t="str">
        <x:v>NR</x:v>
      </x:c>
      <x:c r="U273" s="2" t="str">
        <x:v>NR</x:v>
      </x:c>
      <x:c r="V273" s="2" t="str">
        <x:v>NR</x:v>
      </x:c>
      <x:c r="W273" s="2" t="str">
        <x:v>NR</x:v>
      </x:c>
      <x:c r="X273" s="2" t="str">
        <x:v>NR</x:v>
      </x:c>
      <x:c r="Y273" s="2" t="str">
        <x:v>NR</x:v>
      </x:c>
      <x:c r="Z273" s="2" t="str">
        <x:v>NR</x:v>
      </x:c>
      <x:c r="AA273" s="2" t="str">
        <x:v>No</x:v>
      </x:c>
      <x:c r="AB273" s="2" t="str">
        <x:v>No</x:v>
      </x:c>
      <x:c r="AC273"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AD273"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row>
    <x:row r="274" ht="76" customHeight="1">
      <x:c r="A274" s="2" t="str">
        <x:v>G6</x:v>
      </x:c>
      <x:c r="B274" s="2" t="str"/>
      <x:c r="C274" s="2" t="str">
        <x:v>Grey literature</x:v>
      </x:c>
      <x:c r="D274" s="6" t="str"/>
      <x:c r="E274" s="2" t="str">
        <x:v>G6-MU01</x:v>
      </x:c>
      <x:c r="F274" s="2" t="str">
        <x:v>G6-O01</x:v>
      </x:c>
      <x:c r="G274" s="2" t="str">
        <x:v>G6-T01</x:v>
      </x:c>
      <x:c r="H274" s="2" t="str">
        <x:v>NR</x:v>
      </x:c>
      <x:c r="I274" s="2" t="str">
        <x:v>NR</x:v>
      </x:c>
      <x:c r="J274" s="2" t="str">
        <x:v>NR</x:v>
      </x:c>
      <x:c r="K274" s="2" t="str">
        <x:v>Model not identifiable</x:v>
      </x:c>
      <x:c r="L274" s="2" t="str">
        <x:v>NR</x:v>
      </x:c>
      <x:c r="M274" s="2" t="str">
        <x:v>NR</x:v>
      </x:c>
      <x:c r="N274" s="6" t="str"/>
      <x:c r="O274" s="2" t="str">
        <x:v>No</x:v>
      </x:c>
      <x:c r="P274" s="2" t="str">
        <x:v>No identifiable target LLM model or service</x:v>
      </x:c>
      <x:c r="Q274" s="2" t="str">
        <x:v>NR</x:v>
      </x:c>
      <x:c r="R274" s="2" t="str">
        <x:v>NR</x:v>
      </x:c>
      <x:c r="S274" s="2" t="str">
        <x:v>NR</x:v>
      </x:c>
      <x:c r="T274" s="2" t="str">
        <x:v>NR</x:v>
      </x:c>
      <x:c r="U274" s="2" t="str">
        <x:v>NR</x:v>
      </x:c>
      <x:c r="V274" s="2" t="str">
        <x:v>NR</x:v>
      </x:c>
      <x:c r="W274" s="2" t="str">
        <x:v>NR</x:v>
      </x:c>
      <x:c r="X274" s="2" t="str">
        <x:v>NR</x:v>
      </x:c>
      <x:c r="Y274" s="2" t="str">
        <x:v>NR</x:v>
      </x:c>
      <x:c r="Z274" s="2" t="str">
        <x:v>NR</x:v>
      </x:c>
      <x:c r="AA274" s="2" t="str">
        <x:v>No</x:v>
      </x:c>
      <x:c r="AB274" s="2" t="str">
        <x:v>No</x:v>
      </x:c>
      <x:c r="AC274"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AD274"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row>
    <x:row r="275" ht="76" customHeight="1">
      <x:c r="A275" s="2" t="str">
        <x:v>G6</x:v>
      </x:c>
      <x:c r="B275" s="2" t="str"/>
      <x:c r="C275" s="2" t="str">
        <x:v>Grey literature</x:v>
      </x:c>
      <x:c r="D275" s="6" t="str"/>
      <x:c r="E275" s="2" t="str">
        <x:v>G6-MU02</x:v>
      </x:c>
      <x:c r="F275" s="2" t="str">
        <x:v>G6-O02</x:v>
      </x:c>
      <x:c r="G275" s="2" t="str">
        <x:v>G6-T01</x:v>
      </x:c>
      <x:c r="H275" s="2" t="str">
        <x:v>NR</x:v>
      </x:c>
      <x:c r="I275" s="2" t="str">
        <x:v>NR</x:v>
      </x:c>
      <x:c r="J275" s="2" t="str">
        <x:v>NR</x:v>
      </x:c>
      <x:c r="K275" s="2" t="str">
        <x:v>Model not identifiable</x:v>
      </x:c>
      <x:c r="L275" s="2" t="str">
        <x:v>NR</x:v>
      </x:c>
      <x:c r="M275" s="2" t="str">
        <x:v>NR</x:v>
      </x:c>
      <x:c r="N275" s="6" t="str"/>
      <x:c r="O275" s="2" t="str">
        <x:v>No</x:v>
      </x:c>
      <x:c r="P275" s="2" t="str">
        <x:v>No identifiable target LLM model or service</x:v>
      </x:c>
      <x:c r="Q275" s="2" t="str">
        <x:v>NR</x:v>
      </x:c>
      <x:c r="R275" s="2" t="str">
        <x:v>NR</x:v>
      </x:c>
      <x:c r="S275" s="2" t="str">
        <x:v>NR</x:v>
      </x:c>
      <x:c r="T275" s="2" t="str">
        <x:v>NR</x:v>
      </x:c>
      <x:c r="U275" s="2" t="str">
        <x:v>NR</x:v>
      </x:c>
      <x:c r="V275" s="2" t="str">
        <x:v>NR</x:v>
      </x:c>
      <x:c r="W275" s="2" t="str">
        <x:v>NR</x:v>
      </x:c>
      <x:c r="X275" s="2" t="str">
        <x:v>NR</x:v>
      </x:c>
      <x:c r="Y275" s="2" t="str">
        <x:v>NR</x:v>
      </x:c>
      <x:c r="Z275" s="2" t="str">
        <x:v>NR</x:v>
      </x:c>
      <x:c r="AA275" s="2" t="str">
        <x:v>No</x:v>
      </x:c>
      <x:c r="AB275" s="2" t="str">
        <x:v>No</x:v>
      </x:c>
      <x:c r="AC275"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AD275"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row>
    <x:row r="276" ht="76" customHeight="1">
      <x:c r="A276" s="2" t="str">
        <x:v>G6</x:v>
      </x:c>
      <x:c r="B276" s="2" t="str"/>
      <x:c r="C276" s="2" t="str">
        <x:v>Grey literature</x:v>
      </x:c>
      <x:c r="D276" s="6" t="str"/>
      <x:c r="E276" s="2" t="str">
        <x:v>G6-MU03</x:v>
      </x:c>
      <x:c r="F276" s="2" t="str">
        <x:v>G6-O03</x:v>
      </x:c>
      <x:c r="G276" s="2" t="str">
        <x:v>G6-T01</x:v>
      </x:c>
      <x:c r="H276" s="2" t="str">
        <x:v>NR</x:v>
      </x:c>
      <x:c r="I276" s="2" t="str">
        <x:v>NR</x:v>
      </x:c>
      <x:c r="J276" s="2" t="str">
        <x:v>NR</x:v>
      </x:c>
      <x:c r="K276" s="2" t="str">
        <x:v>Model not identifiable</x:v>
      </x:c>
      <x:c r="L276" s="2" t="str">
        <x:v>NR</x:v>
      </x:c>
      <x:c r="M276" s="2" t="str">
        <x:v>NR</x:v>
      </x:c>
      <x:c r="N276" s="6" t="str"/>
      <x:c r="O276" s="2" t="str">
        <x:v>No</x:v>
      </x:c>
      <x:c r="P276" s="2" t="str">
        <x:v>No identifiable target LLM model or service</x:v>
      </x:c>
      <x:c r="Q276" s="2" t="str">
        <x:v>NR</x:v>
      </x:c>
      <x:c r="R276" s="2" t="str">
        <x:v>NR</x:v>
      </x:c>
      <x:c r="S276" s="2" t="str">
        <x:v>NR</x:v>
      </x:c>
      <x:c r="T276" s="2" t="str">
        <x:v>NR</x:v>
      </x:c>
      <x:c r="U276" s="2" t="str">
        <x:v>NR</x:v>
      </x:c>
      <x:c r="V276" s="2" t="str">
        <x:v>NR</x:v>
      </x:c>
      <x:c r="W276" s="2" t="str">
        <x:v>NR</x:v>
      </x:c>
      <x:c r="X276" s="2" t="str">
        <x:v>NR</x:v>
      </x:c>
      <x:c r="Y276" s="2" t="str">
        <x:v>NR</x:v>
      </x:c>
      <x:c r="Z276" s="2" t="str">
        <x:v>NR</x:v>
      </x:c>
      <x:c r="AA276" s="2" t="str">
        <x:v>No</x:v>
      </x:c>
      <x:c r="AB276" s="2" t="str">
        <x:v>No</x:v>
      </x:c>
      <x:c r="AC276"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AD276"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row>
    <x:row r="277" ht="76" customHeight="1">
      <x:c r="A277" s="2" t="str">
        <x:v>G7</x:v>
      </x:c>
      <x:c r="B277" s="2" t="str"/>
      <x:c r="C277" s="2" t="str">
        <x:v>Grey literature</x:v>
      </x:c>
      <x:c r="D277" s="6" t="str"/>
      <x:c r="E277" s="2" t="str">
        <x:v>G7-MU01</x:v>
      </x:c>
      <x:c r="F277" s="2" t="str">
        <x:v>G7-O01</x:v>
      </x:c>
      <x:c r="G277" s="2" t="str">
        <x:v>G7-T02</x:v>
      </x:c>
      <x:c r="H277" s="2" t="str">
        <x:v>NR</x:v>
      </x:c>
      <x:c r="I277" s="2" t="str">
        <x:v>NR</x:v>
      </x:c>
      <x:c r="J277" s="2" t="str">
        <x:v>NR</x:v>
      </x:c>
      <x:c r="K277" s="2" t="str">
        <x:v>Model not identifiable</x:v>
      </x:c>
      <x:c r="L277" s="2" t="str">
        <x:v>NR</x:v>
      </x:c>
      <x:c r="M277" s="2" t="str">
        <x:v>NR</x:v>
      </x:c>
      <x:c r="N277" s="6" t="str"/>
      <x:c r="O277" s="2" t="str">
        <x:v>No</x:v>
      </x:c>
      <x:c r="P277" s="2" t="str">
        <x:v>No identifiable target LLM model or service</x:v>
      </x:c>
      <x:c r="Q277" s="2" t="str">
        <x:v>Unclear</x:v>
      </x:c>
      <x:c r="R277" s="2" t="str">
        <x:v>NR</x:v>
      </x:c>
      <x:c r="S277" s="2" t="str">
        <x:v>NR</x:v>
      </x:c>
      <x:c r="T277" s="2" t="str">
        <x:v>NR</x:v>
      </x:c>
      <x:c r="U277" s="2" t="str">
        <x:v>NR</x:v>
      </x:c>
      <x:c r="V277" s="2" t="str">
        <x:v>NR</x:v>
      </x:c>
      <x:c r="W277" s="2" t="str">
        <x:v>NR</x:v>
      </x:c>
      <x:c r="X277" s="2" t="str">
        <x:v>NR</x:v>
      </x:c>
      <x:c r="Y277" s="2" t="str">
        <x:v>NR</x:v>
      </x:c>
      <x:c r="Z277" s="2" t="str">
        <x:v>NR</x:v>
      </x:c>
      <x:c r="AA277" s="2" t="str">
        <x:v>No</x:v>
      </x:c>
      <x:c r="AB277" s="2" t="str">
        <x:v>No</x:v>
      </x:c>
      <x:c r="AC277"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AD277"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row>
    <x:row r="278" ht="76" customHeight="1">
      <x:c r="A278" s="2" t="str">
        <x:v>G7</x:v>
      </x:c>
      <x:c r="B278" s="2" t="str"/>
      <x:c r="C278" s="2" t="str">
        <x:v>Grey literature</x:v>
      </x:c>
      <x:c r="D278" s="6" t="str"/>
      <x:c r="E278" s="2" t="str">
        <x:v>G7-MU02</x:v>
      </x:c>
      <x:c r="F278" s="2" t="str">
        <x:v>G7-O02</x:v>
      </x:c>
      <x:c r="G278" s="2" t="str">
        <x:v>G7-T03</x:v>
      </x:c>
      <x:c r="H278" s="2" t="str">
        <x:v>NR</x:v>
      </x:c>
      <x:c r="I278" s="2" t="str">
        <x:v>NR</x:v>
      </x:c>
      <x:c r="J278" s="2" t="str">
        <x:v>NR</x:v>
      </x:c>
      <x:c r="K278" s="2" t="str">
        <x:v>Model not identifiable</x:v>
      </x:c>
      <x:c r="L278" s="2" t="str">
        <x:v>NR</x:v>
      </x:c>
      <x:c r="M278" s="2" t="str">
        <x:v>NR</x:v>
      </x:c>
      <x:c r="N278" s="6" t="str"/>
      <x:c r="O278" s="2" t="str">
        <x:v>No</x:v>
      </x:c>
      <x:c r="P278" s="2" t="str">
        <x:v>No identifiable target LLM model or service</x:v>
      </x:c>
      <x:c r="Q278" s="2" t="str">
        <x:v>Unclear</x:v>
      </x:c>
      <x:c r="R278" s="2" t="str">
        <x:v>NR</x:v>
      </x:c>
      <x:c r="S278" s="2" t="str">
        <x:v>NR</x:v>
      </x:c>
      <x:c r="T278" s="2" t="str">
        <x:v>NR</x:v>
      </x:c>
      <x:c r="U278" s="2" t="str">
        <x:v>NR</x:v>
      </x:c>
      <x:c r="V278" s="2" t="str">
        <x:v>NR</x:v>
      </x:c>
      <x:c r="W278" s="2" t="str">
        <x:v>NR</x:v>
      </x:c>
      <x:c r="X278" s="2" t="str">
        <x:v>NR</x:v>
      </x:c>
      <x:c r="Y278" s="2" t="str">
        <x:v>NR</x:v>
      </x:c>
      <x:c r="Z278" s="2" t="str">
        <x:v>NR</x:v>
      </x:c>
      <x:c r="AA278" s="2" t="str">
        <x:v>No</x:v>
      </x:c>
      <x:c r="AB278" s="2" t="str">
        <x:v>No</x:v>
      </x:c>
      <x:c r="AC278"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AD278"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row>
    <x:row r="279" ht="76" customHeight="1">
      <x:c r="A279" s="2" t="str">
        <x:v>G7</x:v>
      </x:c>
      <x:c r="B279" s="2" t="str"/>
      <x:c r="C279" s="2" t="str">
        <x:v>Grey literature</x:v>
      </x:c>
      <x:c r="D279" s="6" t="str"/>
      <x:c r="E279" s="2" t="str">
        <x:v>G7-MU03</x:v>
      </x:c>
      <x:c r="F279" s="2" t="str">
        <x:v>G7-O03</x:v>
      </x:c>
      <x:c r="G279" s="2" t="str">
        <x:v>G7-T04</x:v>
      </x:c>
      <x:c r="H279" s="2" t="str">
        <x:v>NR</x:v>
      </x:c>
      <x:c r="I279" s="2" t="str">
        <x:v>NR</x:v>
      </x:c>
      <x:c r="J279" s="2" t="str">
        <x:v>NR</x:v>
      </x:c>
      <x:c r="K279" s="2" t="str">
        <x:v>Model not identifiable</x:v>
      </x:c>
      <x:c r="L279" s="2" t="str">
        <x:v>NR</x:v>
      </x:c>
      <x:c r="M279" s="2" t="str">
        <x:v>NR</x:v>
      </x:c>
      <x:c r="N279" s="6" t="str"/>
      <x:c r="O279" s="2" t="str">
        <x:v>No</x:v>
      </x:c>
      <x:c r="P279" s="2" t="str">
        <x:v>No identifiable target LLM model or service</x:v>
      </x:c>
      <x:c r="Q279" s="2" t="str">
        <x:v>Unclear</x:v>
      </x:c>
      <x:c r="R279" s="2" t="str">
        <x:v>NR</x:v>
      </x:c>
      <x:c r="S279" s="2" t="str">
        <x:v>NR</x:v>
      </x:c>
      <x:c r="T279" s="2" t="str">
        <x:v>NR</x:v>
      </x:c>
      <x:c r="U279" s="2" t="str">
        <x:v>NR</x:v>
      </x:c>
      <x:c r="V279" s="2" t="str">
        <x:v>NR</x:v>
      </x:c>
      <x:c r="W279" s="2" t="str">
        <x:v>NR</x:v>
      </x:c>
      <x:c r="X279" s="2" t="str">
        <x:v>NR</x:v>
      </x:c>
      <x:c r="Y279" s="2" t="str">
        <x:v>NR</x:v>
      </x:c>
      <x:c r="Z279" s="2" t="str">
        <x:v>NR</x:v>
      </x:c>
      <x:c r="AA279" s="2" t="str">
        <x:v>No</x:v>
      </x:c>
      <x:c r="AB279" s="2" t="str">
        <x:v>No</x:v>
      </x:c>
      <x:c r="AC279"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AD279"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row>
    <x:row r="280" ht="76" customHeight="1">
      <x:c r="A280" s="2" t="str">
        <x:v>G7</x:v>
      </x:c>
      <x:c r="B280" s="2" t="str"/>
      <x:c r="C280" s="2" t="str">
        <x:v>Grey literature</x:v>
      </x:c>
      <x:c r="D280" s="6" t="str"/>
      <x:c r="E280" s="2" t="str">
        <x:v>G7-MU04</x:v>
      </x:c>
      <x:c r="F280" s="2" t="str">
        <x:v>G7-O04</x:v>
      </x:c>
      <x:c r="G280" s="2" t="str">
        <x:v>G7-T04</x:v>
      </x:c>
      <x:c r="H280" s="2" t="str">
        <x:v>NR</x:v>
      </x:c>
      <x:c r="I280" s="2" t="str">
        <x:v>NR</x:v>
      </x:c>
      <x:c r="J280" s="2" t="str">
        <x:v>NR</x:v>
      </x:c>
      <x:c r="K280" s="2" t="str">
        <x:v>Model not identifiable</x:v>
      </x:c>
      <x:c r="L280" s="2" t="str">
        <x:v>NR</x:v>
      </x:c>
      <x:c r="M280" s="2" t="str">
        <x:v>NR</x:v>
      </x:c>
      <x:c r="N280" s="6" t="str"/>
      <x:c r="O280" s="2" t="str">
        <x:v>No</x:v>
      </x:c>
      <x:c r="P280" s="2" t="str">
        <x:v>No identifiable target LLM model or service</x:v>
      </x:c>
      <x:c r="Q280" s="2" t="str">
        <x:v>Unclear</x:v>
      </x:c>
      <x:c r="R280" s="2" t="str">
        <x:v>NR</x:v>
      </x:c>
      <x:c r="S280" s="2" t="str">
        <x:v>NR</x:v>
      </x:c>
      <x:c r="T280" s="2" t="str">
        <x:v>NR</x:v>
      </x:c>
      <x:c r="U280" s="2" t="str">
        <x:v>NR</x:v>
      </x:c>
      <x:c r="V280" s="2" t="str">
        <x:v>NR</x:v>
      </x:c>
      <x:c r="W280" s="2" t="str">
        <x:v>NR</x:v>
      </x:c>
      <x:c r="X280" s="2" t="str">
        <x:v>NR</x:v>
      </x:c>
      <x:c r="Y280" s="2" t="str">
        <x:v>NR</x:v>
      </x:c>
      <x:c r="Z280" s="2" t="str">
        <x:v>NR</x:v>
      </x:c>
      <x:c r="AA280" s="2" t="str">
        <x:v>No</x:v>
      </x:c>
      <x:c r="AB280" s="2" t="str">
        <x:v>No</x:v>
      </x:c>
      <x:c r="AC280"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AD280"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row>
    <x:row r="281" ht="76" customHeight="1">
      <x:c r="A281" s="2" t="str">
        <x:v>G8</x:v>
      </x:c>
      <x:c r="B281" s="2" t="str"/>
      <x:c r="C281" s="2" t="str">
        <x:v>Grey literature</x:v>
      </x:c>
      <x:c r="D281" s="6" t="str"/>
      <x:c r="E281" s="2" t="str">
        <x:v>G8-MU01</x:v>
      </x:c>
      <x:c r="F281" s="2" t="str">
        <x:v>G8-O01</x:v>
      </x:c>
      <x:c r="G281" s="2" t="str">
        <x:v>G8-T01</x:v>
      </x:c>
      <x:c r="H281" s="2" t="str">
        <x:v>Claude API</x:v>
      </x:c>
      <x:c r="I281" s="2" t="str">
        <x:v>Claude</x:v>
      </x:c>
      <x:c r="J281" s="2" t="str">
        <x:v>Claude</x:v>
      </x:c>
      <x:c r="K281" s="2" t="str">
        <x:v>Claude service (version not disclosed)</x:v>
      </x:c>
      <x:c r="L281" s="2" t="str">
        <x:v>Closed</x:v>
      </x:c>
      <x:c r="M281" s="2" t="str">
        <x:v>Closed</x:v>
      </x:c>
      <x:c r="N281" s="6" t="str">
        <x:v>Explicit Claude API service</x:v>
      </x:c>
      <x:c r="O281" s="2" t="str">
        <x:v>Yes</x:v>
      </x:c>
      <x:c r="P281" s="2" t="str"/>
      <x:c r="Q281" s="2" t="str">
        <x:v>API</x:v>
      </x:c>
      <x:c r="R281" s="2" t="str">
        <x:v>NR</x:v>
      </x:c>
      <x:c r="S281" s="2" t="str">
        <x:v>NR</x:v>
      </x:c>
      <x:c r="T281" s="2" t="str">
        <x:v>NR</x:v>
      </x:c>
      <x:c r="U281" s="2" t="str">
        <x:v>NR</x:v>
      </x:c>
      <x:c r="V281" s="2" t="str">
        <x:v>NR</x:v>
      </x:c>
      <x:c r="W281" s="2" t="str">
        <x:v>NR</x:v>
      </x:c>
      <x:c r="X281" s="2" t="str">
        <x:v>NR</x:v>
      </x:c>
      <x:c r="Y281" s="2" t="str">
        <x:v>NR</x:v>
      </x:c>
      <x:c r="Z281" s="2" t="str">
        <x:v>NR</x:v>
      </x:c>
      <x:c r="AA281" s="2" t="str">
        <x:v>No</x:v>
      </x:c>
      <x:c r="AB281" s="2" t="str">
        <x:v>Yes (a run over 20 to 35 requirements takes about 25 minutes)</x:v>
      </x:c>
      <x:c r="AC281"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AD281" s="6" t="str">
        <x:v>automate the mapping between requirements, source code, unit tests, and build verification artifacts ; for each requirement um it selects the relevant c file and calls claude and maps the requirement to code ; it will display the traceability for each requirement source code and the function ; since it couldn't locate the b build verification script, it made it blank ; right now 20 35 requirements takes 25 minutes so we are going to include rag to have no delays ; Built with: Python + Claude API + cFS heritage codebase ; leaving gaps blank instead of hallucinating missing information</x:v>
      </x:c>
    </x:row>
    <x:row r="282" ht="76" customHeight="1">
      <x:c r="A282" s="2" t="str">
        <x:v>G8</x:v>
      </x:c>
      <x:c r="B282" s="2" t="str"/>
      <x:c r="C282" s="2" t="str">
        <x:v>Grey literature</x:v>
      </x:c>
      <x:c r="D282" s="6" t="str"/>
      <x:c r="E282" s="2" t="str">
        <x:v>G8-MU02</x:v>
      </x:c>
      <x:c r="F282" s="2" t="str">
        <x:v>G8-O02</x:v>
      </x:c>
      <x:c r="G282" s="2" t="str">
        <x:v>G8-T02</x:v>
      </x:c>
      <x:c r="H282" s="2" t="str">
        <x:v>Claude API</x:v>
      </x:c>
      <x:c r="I282" s="2" t="str">
        <x:v>Claude</x:v>
      </x:c>
      <x:c r="J282" s="2" t="str">
        <x:v>Claude</x:v>
      </x:c>
      <x:c r="K282" s="2" t="str">
        <x:v>Claude service (version not disclosed)</x:v>
      </x:c>
      <x:c r="L282" s="2" t="str">
        <x:v>Closed</x:v>
      </x:c>
      <x:c r="M282" s="2" t="str">
        <x:v>Closed</x:v>
      </x:c>
      <x:c r="N282" s="6" t="str">
        <x:v>Explicit Claude API service</x:v>
      </x:c>
      <x:c r="O282" s="2" t="str">
        <x:v>Yes</x:v>
      </x:c>
      <x:c r="P282" s="2" t="str"/>
      <x:c r="Q282" s="2" t="str">
        <x:v>API</x:v>
      </x:c>
      <x:c r="R282" s="2" t="str">
        <x:v>NR</x:v>
      </x:c>
      <x:c r="S282" s="2" t="str">
        <x:v>NR</x:v>
      </x:c>
      <x:c r="T282" s="2" t="str">
        <x:v>NR</x:v>
      </x:c>
      <x:c r="U282" s="2" t="str">
        <x:v>NR</x:v>
      </x:c>
      <x:c r="V282" s="2" t="str">
        <x:v>NR</x:v>
      </x:c>
      <x:c r="W282" s="2" t="str">
        <x:v>NR</x:v>
      </x:c>
      <x:c r="X282" s="2" t="str">
        <x:v>NR</x:v>
      </x:c>
      <x:c r="Y282" s="2" t="str">
        <x:v>NR</x:v>
      </x:c>
      <x:c r="Z282" s="2" t="str">
        <x:v>NR</x:v>
      </x:c>
      <x:c r="AA282" s="2" t="str">
        <x:v>No</x:v>
      </x:c>
      <x:c r="AB282" s="2" t="str">
        <x:v>Yes (a run over 20 to 35 requirements takes about 25 minutes)</x:v>
      </x:c>
      <x:c r="AC282"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AD282" s="6" t="str">
        <x:v>automate the mapping between requirements, source code, unit tests, and build verification artifacts ; for each requirement um it selects the relevant c file and calls claude and maps the requirement to code ; it will display the traceability for each requirement source code and the function ; since it couldn't locate the b build verification script, it made it blank ; right now 20 35 requirements takes 25 minutes so we are going to include rag to have no delays ; Built with: Python + Claude API + cFS heritage codebase ; leaving gaps blank instead of hallucinating missing information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52" hidden="0" customWidth="1"/>
    <x:col min="9" max="9" width="20" hidden="0" customWidth="1"/>
    <x:col min="10" max="10" width="20" hidden="0" customWidth="1"/>
    <x:col min="11" max="11" width="5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52" hidden="0" customWidth="1"/>
    <x:col min="22" max="22" width="52" hidden="0" customWidth="1"/>
    <x:col min="23" max="23" width="52" hidden="0" customWidth="1"/>
    <x:col min="24" max="24" width="52" hidden="0" customWidth="1"/>
  </x:cols>
  <x:sheetData>
    <x:row r="1" ht="38" customHeight="1">
      <x:c r="A1" s="5" t="str">
        <x:v>Study ID</x:v>
      </x:c>
      <x:c r="B1" s="5" t="str">
        <x:v>Configuration feature ID</x:v>
      </x:c>
      <x:c r="C1" s="5" t="str">
        <x:v>Model use ID</x:v>
      </x:c>
      <x:c r="D1" s="5" t="str">
        <x:v>Operation ID</x:v>
      </x:c>
      <x:c r="E1" s="5" t="str">
        <x:v>Original feature type</x:v>
      </x:c>
      <x:c r="F1" s="5" t="str">
        <x:v>Feature name in paper</x:v>
      </x:c>
      <x:c r="G1" s="5" t="str">
        <x:v>Original feature code</x:v>
      </x:c>
      <x:c r="H1" s="5" t="str">
        <x:v>Feature description</x:v>
      </x:c>
      <x:c r="I1" s="5" t="str">
        <x:v>Included in RQ4</x:v>
      </x:c>
      <x:c r="J1" s="5" t="str">
        <x:v>RQ4 exclusion reason</x:v>
      </x:c>
      <x:c r="K1" s="5" t="str">
        <x:v>Normalized category</x:v>
      </x:c>
      <x:c r="L1" s="5" t="str">
        <x:v>Normalized strategy</x:v>
      </x:c>
      <x:c r="M1" s="5" t="str">
        <x:v>Secondary tags</x:v>
      </x:c>
      <x:c r="N1" s="5" t="str">
        <x:v>Prompt available</x:v>
      </x:c>
      <x:c r="O1" s="5" t="str">
        <x:v>Prompt detail level</x:v>
      </x:c>
      <x:c r="P1" s="5" t="str">
        <x:v>Few-shot count</x:v>
      </x:c>
      <x:c r="Q1" s="5" t="str">
        <x:v>RAG used</x:v>
      </x:c>
      <x:c r="R1" s="5" t="str">
        <x:v>Fine-tuning used</x:v>
      </x:c>
      <x:c r="S1" s="5" t="str">
        <x:v>Agent workflow</x:v>
      </x:c>
      <x:c r="T1" s="5" t="str">
        <x:v>Orchestration</x:v>
      </x:c>
      <x:c r="U1" s="5" t="str">
        <x:v>Evidence location</x:v>
      </x:c>
      <x:c r="V1" s="5" t="str">
        <x:v>Evidence excerpt</x:v>
      </x:c>
      <x:c r="W1" s="5" t="str">
        <x:v>Reviewer interpretation</x:v>
      </x:c>
      <x:c r="X1" s="5" t="str">
        <x:v>Notes</x:v>
      </x:c>
    </x:row>
    <x:row r="2" ht="76" customHeight="1">
      <x:c r="A2" s="2" t="str">
        <x:v>S01</x:v>
      </x:c>
      <x:c r="B2" s="2" t="str">
        <x:v>S01-CF01</x:v>
      </x:c>
      <x:c r="C2" s="2" t="str">
        <x:v>S01-MU01</x:v>
      </x:c>
      <x:c r="D2" s="2" t="str">
        <x:v>S01-O03</x:v>
      </x:c>
      <x:c r="E2" s="2" t="str">
        <x:v>Prompting</x:v>
      </x:c>
      <x:c r="F2" s="2" t="str">
        <x:v>KISS Prompt</x:v>
      </x:c>
      <x:c r="G2" s="2" t="str">
        <x:v>kiss_prompt</x:v>
      </x:c>
      <x:c r="H2" s="6" t="str">
        <x:v>简单零样本分类提示，直接询问LLM两个工件是否相关，要求回答yes或no。</x:v>
      </x:c>
      <x:c r="I2" s="2" t="str">
        <x:v>Yes</x:v>
      </x:c>
      <x:c r="J2" s="2"/>
      <x:c r="K2" s="6" t="str">
        <x:v>Prompt design</x:v>
      </x:c>
      <x:c r="L2" s="2" t="str">
        <x:v>Task-specific prompting</x:v>
      </x:c>
      <x:c r="M2" s="2" t="str">
        <x:v>Retrieved context</x:v>
      </x:c>
      <x:c r="N2" s="2" t="str">
        <x:v>Yes</x:v>
      </x:c>
      <x:c r="O2" s="2" t="str">
        <x:v>Full prompt reported</x:v>
      </x:c>
      <x:c r="P2" s="2" t="str">
        <x:v>0</x:v>
      </x:c>
      <x:c r="Q2" s="2" t="str">
        <x:v>Yes</x:v>
      </x:c>
      <x:c r="R2" s="2" t="str">
        <x:v>No</x:v>
      </x:c>
      <x:c r="S2" s="2" t="str">
        <x:v>No</x:v>
      </x:c>
      <x:c r="T2" s="2" t="str">
        <x:v>NR</x:v>
      </x:c>
      <x:c r="U2" s="6" t="str">
        <x:v>p. 5; Section III-C1</x:v>
      </x:c>
      <x:c r="V2" s="6" t="str">
        <x:v>Question: Here are two parts of software development source type: '''source content'''</x:v>
      </x:c>
      <x:c r="W2" s="6" t="str">
        <x:v>该提示直接要求LLM做出二元分类决定，是最简单的零样本形式。</x:v>
      </x:c>
      <x:c r="X2" s="6" t="str">
        <x:v>NA</x:v>
      </x:c>
    </x:row>
    <x:row r="3" ht="76" customHeight="1">
      <x:c r="A3" s="2" t="str">
        <x:v>S01</x:v>
      </x:c>
      <x:c r="B3" s="2" t="str">
        <x:v>S01-CF02</x:v>
      </x:c>
      <x:c r="C3" s="2" t="str">
        <x:v>S01-MU04</x:v>
      </x:c>
      <x:c r="D3" s="2" t="str">
        <x:v>S01-O03</x:v>
      </x:c>
      <x:c r="E3" s="2" t="str">
        <x:v>Prompting</x:v>
      </x:c>
      <x:c r="F3" s="2" t="str">
        <x:v>KISS Prompt</x:v>
      </x:c>
      <x:c r="G3" s="2" t="str">
        <x:v>kiss_prompt</x:v>
      </x:c>
      <x:c r="H3" s="6" t="str">
        <x:v>简单零样本分类提示，直接询问LLM两个工件是否相关，要求回答yes或no。</x:v>
      </x:c>
      <x:c r="I3" s="2" t="str">
        <x:v>Yes</x:v>
      </x:c>
      <x:c r="J3" s="2"/>
      <x:c r="K3" s="6" t="str">
        <x:v>Prompt design</x:v>
      </x:c>
      <x:c r="L3" s="2" t="str">
        <x:v>Task-specific prompting</x:v>
      </x:c>
      <x:c r="M3" s="2" t="str">
        <x:v>Retrieved context</x:v>
      </x:c>
      <x:c r="N3" s="2" t="str">
        <x:v>Yes</x:v>
      </x:c>
      <x:c r="O3" s="2" t="str">
        <x:v>Full prompt reported</x:v>
      </x:c>
      <x:c r="P3" s="2" t="str">
        <x:v>0</x:v>
      </x:c>
      <x:c r="Q3" s="2" t="str">
        <x:v>Yes</x:v>
      </x:c>
      <x:c r="R3" s="2" t="str">
        <x:v>No</x:v>
      </x:c>
      <x:c r="S3" s="2" t="str">
        <x:v>No</x:v>
      </x:c>
      <x:c r="T3" s="2" t="str">
        <x:v>NR</x:v>
      </x:c>
      <x:c r="U3" s="6" t="str">
        <x:v>p. 5; Section III-C1</x:v>
      </x:c>
      <x:c r="V3" s="6" t="str">
        <x:v>Question: Here are two parts of software development source type: '''source content'''</x:v>
      </x:c>
      <x:c r="W3" s="6" t="str">
        <x:v>该提示直接要求LLM做出二元分类决定，是最简单的零样本形式。</x:v>
      </x:c>
      <x:c r="X3" s="6" t="str">
        <x:v>NA</x:v>
      </x:c>
    </x:row>
    <x:row r="4" ht="76" customHeight="1">
      <x:c r="A4" s="2" t="str">
        <x:v>S01</x:v>
      </x:c>
      <x:c r="B4" s="2" t="str">
        <x:v>S01-CF03</x:v>
      </x:c>
      <x:c r="C4" s="2" t="str">
        <x:v>S01-MU04</x:v>
      </x:c>
      <x:c r="D4" s="2" t="str">
        <x:v>S01-O03</x:v>
      </x:c>
      <x:c r="E4" s="2" t="str">
        <x:v>Prompting</x:v>
      </x:c>
      <x:c r="F4" s="2" t="str">
        <x:v>KISS Prompt</x:v>
      </x:c>
      <x:c r="G4" s="2" t="str">
        <x:v>kiss_prompt</x:v>
      </x:c>
      <x:c r="H4" s="6" t="str">
        <x:v>简单零样本分类提示，直接询问LLM两个工件是否相关，要求回答yes或no。</x:v>
      </x:c>
      <x:c r="I4" s="2" t="str">
        <x:v>Yes</x:v>
      </x:c>
      <x:c r="J4" s="2"/>
      <x:c r="K4" s="6" t="str">
        <x:v>Prompt design</x:v>
      </x:c>
      <x:c r="L4" s="2" t="str">
        <x:v>Task-specific prompting</x:v>
      </x:c>
      <x:c r="M4" s="2" t="str">
        <x:v>Retrieved context</x:v>
      </x:c>
      <x:c r="N4" s="2" t="str">
        <x:v>Yes</x:v>
      </x:c>
      <x:c r="O4" s="2" t="str">
        <x:v>Full prompt reported</x:v>
      </x:c>
      <x:c r="P4" s="2" t="str">
        <x:v>0</x:v>
      </x:c>
      <x:c r="Q4" s="2" t="str">
        <x:v>Yes</x:v>
      </x:c>
      <x:c r="R4" s="2" t="str">
        <x:v>No</x:v>
      </x:c>
      <x:c r="S4" s="2" t="str">
        <x:v>No</x:v>
      </x:c>
      <x:c r="T4" s="2" t="str">
        <x:v>NR</x:v>
      </x:c>
      <x:c r="U4" s="6" t="str">
        <x:v>p. 5; Section III-C1</x:v>
      </x:c>
      <x:c r="V4" s="6" t="str">
        <x:v>Question: Here are two parts of software development source type: '''source content'''</x:v>
      </x:c>
      <x:c r="W4" s="6" t="str">
        <x:v>该提示直接要求LLM做出二元分类决定，是最简单的零样本形式。</x:v>
      </x:c>
      <x:c r="X4" s="6" t="str">
        <x:v>NA</x:v>
      </x:c>
    </x:row>
    <x:row r="5" ht="76" customHeight="1">
      <x:c r="A5" s="2" t="str">
        <x:v>S01</x:v>
      </x:c>
      <x:c r="B5" s="2" t="str">
        <x:v>S01-CF04</x:v>
      </x:c>
      <x:c r="C5" s="2" t="str">
        <x:v>S01-MU04</x:v>
      </x:c>
      <x:c r="D5" s="2" t="str">
        <x:v>S01-O03</x:v>
      </x:c>
      <x:c r="E5" s="2" t="str">
        <x:v>Prompting</x:v>
      </x:c>
      <x:c r="F5" s="2" t="str">
        <x:v>KISS Prompt</x:v>
      </x:c>
      <x:c r="G5" s="2" t="str">
        <x:v>kiss_prompt</x:v>
      </x:c>
      <x:c r="H5" s="6" t="str">
        <x:v>简单零样本分类提示，直接询问LLM两个工件是否相关，要求回答yes或no。</x:v>
      </x:c>
      <x:c r="I5" s="2" t="str">
        <x:v>Yes</x:v>
      </x:c>
      <x:c r="J5" s="2"/>
      <x:c r="K5" s="6" t="str">
        <x:v>Prompt design</x:v>
      </x:c>
      <x:c r="L5" s="2" t="str">
        <x:v>Task-specific prompting</x:v>
      </x:c>
      <x:c r="M5" s="2" t="str">
        <x:v>Retrieved context</x:v>
      </x:c>
      <x:c r="N5" s="2" t="str">
        <x:v>Yes</x:v>
      </x:c>
      <x:c r="O5" s="2" t="str">
        <x:v>Full prompt reported</x:v>
      </x:c>
      <x:c r="P5" s="2" t="str">
        <x:v>0</x:v>
      </x:c>
      <x:c r="Q5" s="2" t="str">
        <x:v>Yes</x:v>
      </x:c>
      <x:c r="R5" s="2" t="str">
        <x:v>No</x:v>
      </x:c>
      <x:c r="S5" s="2" t="str">
        <x:v>No</x:v>
      </x:c>
      <x:c r="T5" s="2" t="str">
        <x:v>NR</x:v>
      </x:c>
      <x:c r="U5" s="6" t="str">
        <x:v>p. 5; Section III-C1</x:v>
      </x:c>
      <x:c r="V5" s="6" t="str">
        <x:v>Question: Here are two parts of software development source type: '''source content'''</x:v>
      </x:c>
      <x:c r="W5" s="6" t="str">
        <x:v>该提示直接要求LLM做出二元分类决定，是最简单的零样本形式。</x:v>
      </x:c>
      <x:c r="X5" s="6" t="str">
        <x:v>NA</x:v>
      </x:c>
    </x:row>
    <x:row r="6" ht="76" customHeight="1">
      <x:c r="A6" s="2" t="str">
        <x:v>S01</x:v>
      </x:c>
      <x:c r="B6" s="2" t="str">
        <x:v>S01-CF05</x:v>
      </x:c>
      <x:c r="C6" s="2" t="str">
        <x:v>S01-MU01</x:v>
      </x:c>
      <x:c r="D6" s="2" t="str">
        <x:v>S01-O03</x:v>
      </x:c>
      <x:c r="E6" s="2" t="str">
        <x:v>Prompting</x:v>
      </x:c>
      <x:c r="F6" s="2" t="str">
        <x:v>Chain-of-thought Prompt</x:v>
      </x:c>
      <x:c r="G6" s="2" t="str">
        <x:v>cot_prompt</x:v>
      </x:c>
      <x:c r="H6" s="6" t="str">
        <x:v>零样本思维链提示，要求LLM先给出推理理由再回答yes/no，并将最终答案放在&lt;trace&gt;标签内。</x:v>
      </x:c>
      <x:c r="I6" s="2" t="str">
        <x:v>Yes</x:v>
      </x:c>
      <x:c r="J6" s="2"/>
      <x:c r="K6" s="6" t="str">
        <x:v>Prompt design</x:v>
      </x:c>
      <x:c r="L6" s="2" t="str">
        <x:v>Reasoning elicitation</x:v>
      </x:c>
      <x:c r="M6" s="2" t="str">
        <x:v>Reasoning elicitation; Retrieved context</x:v>
      </x:c>
      <x:c r="N6" s="2" t="str">
        <x:v>Yes</x:v>
      </x:c>
      <x:c r="O6" s="2" t="str">
        <x:v>Full prompt reported</x:v>
      </x:c>
      <x:c r="P6" s="2" t="str">
        <x:v>0</x:v>
      </x:c>
      <x:c r="Q6" s="2" t="str">
        <x:v>Yes</x:v>
      </x:c>
      <x:c r="R6" s="2" t="str">
        <x:v>No</x:v>
      </x:c>
      <x:c r="S6" s="2" t="str">
        <x:v>No</x:v>
      </x:c>
      <x:c r="T6" s="2" t="str">
        <x:v>NR</x:v>
      </x:c>
      <x:c r="U6" s="6" t="str">
        <x:v>p. 5; Section III-C1</x:v>
      </x:c>
      <x:c r="V6" s="6" t="str">
        <x:v>Is there a traceability link between (1) and (2)? Give your reasoning and then answer with 'yes' or 'no' enclosed in &lt;trace&gt; &lt;/trace&gt;.</x:v>
      </x:c>
      <x:c r="W6" s="6" t="str">
        <x:v>这种提示引导LLM进行逐步推理，但最终仅根据返回的是否包含'yes'来决定链接，推理部分被忽略。</x:v>
      </x:c>
      <x:c r="X6" s="6" t="str">
        <x:v>推理部分未用于链接决策，仅作为辅助</x:v>
      </x:c>
    </x:row>
    <x:row r="7" ht="76" customHeight="1">
      <x:c r="A7" s="2" t="str">
        <x:v>S01</x:v>
      </x:c>
      <x:c r="B7" s="2" t="str">
        <x:v>S01-CF06</x:v>
      </x:c>
      <x:c r="C7" s="2" t="str">
        <x:v>S01-MU04</x:v>
      </x:c>
      <x:c r="D7" s="2" t="str">
        <x:v>S01-O03</x:v>
      </x:c>
      <x:c r="E7" s="2" t="str">
        <x:v>Prompting</x:v>
      </x:c>
      <x:c r="F7" s="2" t="str">
        <x:v>Chain-of-thought Prompt</x:v>
      </x:c>
      <x:c r="G7" s="2" t="str">
        <x:v>cot_prompt</x:v>
      </x:c>
      <x:c r="H7" s="6" t="str">
        <x:v>零样本思维链提示，要求LLM先给出推理理由再回答yes/no，并将最终答案放在&lt;trace&gt;标签内。</x:v>
      </x:c>
      <x:c r="I7" s="2" t="str">
        <x:v>Yes</x:v>
      </x:c>
      <x:c r="J7" s="2"/>
      <x:c r="K7" s="6" t="str">
        <x:v>Prompt design</x:v>
      </x:c>
      <x:c r="L7" s="2" t="str">
        <x:v>Reasoning elicitation</x:v>
      </x:c>
      <x:c r="M7" s="2" t="str">
        <x:v>Reasoning elicitation; Retrieved context</x:v>
      </x:c>
      <x:c r="N7" s="2" t="str">
        <x:v>Yes</x:v>
      </x:c>
      <x:c r="O7" s="2" t="str">
        <x:v>Full prompt reported</x:v>
      </x:c>
      <x:c r="P7" s="2" t="str">
        <x:v>0</x:v>
      </x:c>
      <x:c r="Q7" s="2" t="str">
        <x:v>Yes</x:v>
      </x:c>
      <x:c r="R7" s="2" t="str">
        <x:v>No</x:v>
      </x:c>
      <x:c r="S7" s="2" t="str">
        <x:v>No</x:v>
      </x:c>
      <x:c r="T7" s="2" t="str">
        <x:v>NR</x:v>
      </x:c>
      <x:c r="U7" s="6" t="str">
        <x:v>p. 5; Section III-C1</x:v>
      </x:c>
      <x:c r="V7" s="6" t="str">
        <x:v>Is there a traceability link between (1) and (2)? Give your reasoning and then answer with 'yes' or 'no' enclosed in &lt;trace&gt; &lt;/trace&gt;.</x:v>
      </x:c>
      <x:c r="W7" s="6" t="str">
        <x:v>这种提示引导LLM进行逐步推理，但最终仅根据返回的是否包含'yes'来决定链接，推理部分被忽略。</x:v>
      </x:c>
      <x:c r="X7" s="6" t="str">
        <x:v>推理部分未用于链接决策</x:v>
      </x:c>
    </x:row>
    <x:row r="8" ht="76" customHeight="1">
      <x:c r="A8" s="2" t="str">
        <x:v>S01</x:v>
      </x:c>
      <x:c r="B8" s="2" t="str">
        <x:v>S01-CF07</x:v>
      </x:c>
      <x:c r="C8" s="2" t="str">
        <x:v>S01-MU04</x:v>
      </x:c>
      <x:c r="D8" s="2" t="str">
        <x:v>S01-O03</x:v>
      </x:c>
      <x:c r="E8" s="2" t="str">
        <x:v>Prompting</x:v>
      </x:c>
      <x:c r="F8" s="2" t="str">
        <x:v>Chain-of-thought Prompt</x:v>
      </x:c>
      <x:c r="G8" s="2" t="str">
        <x:v>cot_prompt</x:v>
      </x:c>
      <x:c r="H8" s="6" t="str">
        <x:v>零样本思维链提示，要求LLM先给出推理理由再回答yes/no，并将最终答案放在&lt;trace&gt;标签内。</x:v>
      </x:c>
      <x:c r="I8" s="2" t="str">
        <x:v>Yes</x:v>
      </x:c>
      <x:c r="J8" s="2"/>
      <x:c r="K8" s="6" t="str">
        <x:v>Prompt design</x:v>
      </x:c>
      <x:c r="L8" s="2" t="str">
        <x:v>Reasoning elicitation</x:v>
      </x:c>
      <x:c r="M8" s="2" t="str">
        <x:v>Reasoning elicitation; Retrieved context</x:v>
      </x:c>
      <x:c r="N8" s="2" t="str">
        <x:v>Yes</x:v>
      </x:c>
      <x:c r="O8" s="2" t="str">
        <x:v>Full prompt reported</x:v>
      </x:c>
      <x:c r="P8" s="2" t="str">
        <x:v>0</x:v>
      </x:c>
      <x:c r="Q8" s="2" t="str">
        <x:v>Yes</x:v>
      </x:c>
      <x:c r="R8" s="2" t="str">
        <x:v>No</x:v>
      </x:c>
      <x:c r="S8" s="2" t="str">
        <x:v>No</x:v>
      </x:c>
      <x:c r="T8" s="2" t="str">
        <x:v>NR</x:v>
      </x:c>
      <x:c r="U8" s="6" t="str">
        <x:v>p. 5; Section III-C1</x:v>
      </x:c>
      <x:c r="V8" s="6" t="str">
        <x:v>Is there a traceability link between (1) and (2)? Give your reasoning and then answer with 'yes' or 'no' enclosed in &lt;trace&gt; &lt;/trace&gt;.</x:v>
      </x:c>
      <x:c r="W8" s="6" t="str">
        <x:v>这种提示引导LLM进行逐步推理，但最终仅根据返回的是否包含'yes'来决定链接，推理部分被忽略。</x:v>
      </x:c>
      <x:c r="X8" s="6" t="str">
        <x:v>推理部分未用于链接决策</x:v>
      </x:c>
    </x:row>
    <x:row r="9" ht="76" customHeight="1">
      <x:c r="A9" s="2" t="str">
        <x:v>S01</x:v>
      </x:c>
      <x:c r="B9" s="2" t="str">
        <x:v>S01-CF08</x:v>
      </x:c>
      <x:c r="C9" s="2" t="str">
        <x:v>S01-MU04</x:v>
      </x:c>
      <x:c r="D9" s="2" t="str">
        <x:v>S01-O03</x:v>
      </x:c>
      <x:c r="E9" s="2" t="str">
        <x:v>Prompting</x:v>
      </x:c>
      <x:c r="F9" s="2" t="str">
        <x:v>Chain-of-thought Prompt</x:v>
      </x:c>
      <x:c r="G9" s="2" t="str">
        <x:v>cot_prompt</x:v>
      </x:c>
      <x:c r="H9" s="6" t="str">
        <x:v>零样本思维链提示，要求LLM先给出推理理由再回答yes/no，并将最终答案放在&lt;trace&gt;标签内。</x:v>
      </x:c>
      <x:c r="I9" s="2" t="str">
        <x:v>Yes</x:v>
      </x:c>
      <x:c r="J9" s="2"/>
      <x:c r="K9" s="6" t="str">
        <x:v>Prompt design</x:v>
      </x:c>
      <x:c r="L9" s="2" t="str">
        <x:v>Reasoning elicitation</x:v>
      </x:c>
      <x:c r="M9" s="2" t="str">
        <x:v>Reasoning elicitation; Retrieved context</x:v>
      </x:c>
      <x:c r="N9" s="2" t="str">
        <x:v>Yes</x:v>
      </x:c>
      <x:c r="O9" s="2" t="str">
        <x:v>Full prompt reported</x:v>
      </x:c>
      <x:c r="P9" s="2" t="str">
        <x:v>0</x:v>
      </x:c>
      <x:c r="Q9" s="2" t="str">
        <x:v>Yes</x:v>
      </x:c>
      <x:c r="R9" s="2" t="str">
        <x:v>No</x:v>
      </x:c>
      <x:c r="S9" s="2" t="str">
        <x:v>No</x:v>
      </x:c>
      <x:c r="T9" s="2" t="str">
        <x:v>NR</x:v>
      </x:c>
      <x:c r="U9" s="6" t="str">
        <x:v>p. 5; Section III-C1</x:v>
      </x:c>
      <x:c r="V9" s="6" t="str">
        <x:v>Is there a traceability link between (1) and (2)? Give your reasoning and then answer with 'yes' or 'no' enclosed in &lt;trace&gt; &lt;/trace&gt;.</x:v>
      </x:c>
      <x:c r="W9" s="6" t="str">
        <x:v>这种提示引导LLM进行逐步推理，但最终仅根据返回的是否包含'yes'来决定链接，推理部分被忽略。</x:v>
      </x:c>
      <x:c r="X9" s="6" t="str">
        <x:v>推理部分未用于链接决策</x:v>
      </x:c>
    </x:row>
    <x:row r="10" ht="76" customHeight="1">
      <x:c r="A10" s="2" t="str">
        <x:v>S01</x:v>
      </x:c>
      <x:c r="B10" s="2" t="str">
        <x:v>S01-CF09</x:v>
      </x:c>
      <x:c r="C10" s="2" t="str">
        <x:v>S01-MU01</x:v>
      </x:c>
      <x:c r="D10" s="2" t="str">
        <x:v>S01-O03</x:v>
      </x:c>
      <x:c r="E10" s="2" t="str">
        <x:v>Context construction</x:v>
      </x:c>
      <x:c r="F10" s="2" t="str">
        <x:v>+Art. configuration</x:v>
      </x:c>
      <x:c r="G10" s="2" t="str">
        <x:v>artifact_level_prompt</x:v>
      </x:c>
      <x:c r="H10" s="6" t="str">
        <x:v>LLM提示中使用完整目标工件文本替代检索到的目标元素文本，以提供更多上下文。</x:v>
      </x:c>
      <x:c r="I10" s="2" t="str">
        <x:v>Yes</x:v>
      </x:c>
      <x:c r="J10" s="2"/>
      <x:c r="K10" s="6" t="str">
        <x:v>Input and context construction</x:v>
      </x:c>
      <x:c r="L10" s="2" t="str">
        <x:v>Retrieved context</x:v>
      </x:c>
      <x:c r="M10" s="2" t="str">
        <x:v>Retrieved context</x:v>
      </x:c>
      <x:c r="N10" s="2" t="str">
        <x:v>Yes</x:v>
      </x:c>
      <x:c r="O10" s="2" t="str">
        <x:v>Template reported</x:v>
      </x:c>
      <x:c r="P10" s="2" t="str">
        <x:v>0</x:v>
      </x:c>
      <x:c r="Q10" s="2" t="str">
        <x:v>Yes</x:v>
      </x:c>
      <x:c r="R10" s="2" t="str">
        <x:v>No</x:v>
      </x:c>
      <x:c r="S10" s="2" t="str">
        <x:v>No</x:v>
      </x:c>
      <x:c r="T10" s="2" t="str">
        <x:v>NR</x:v>
      </x:c>
      <x:c r="U10" s="6" t="str">
        <x:v>p. 8; Section IV-F1</x:v>
      </x:c>
      <x:c r="V10" s="6" t="str">
        <x:v>a variant where the LLM is provided with the original artifact instead of the elements from the retrieval. This means that we</x:v>
      </x:c>
      <x:c r="W10" s="6" t="str">
        <x:v>这种配置下，检索仍用于找到候选工件，但提示中放入的是完整的工件内容（如整个文件），而不是分割后的元素片段。</x:v>
      </x:c>
      <x:c r="X10" s="6" t="str">
        <x:v>仅用于T1任务，且可能截断至模型最大输入大小</x:v>
      </x:c>
    </x:row>
    <x:row r="11" ht="76" customHeight="1">
      <x:c r="A11" s="2" t="str">
        <x:v>S02</x:v>
      </x:c>
      <x:c r="B11" s="2" t="str">
        <x:v>S02-CF01</x:v>
      </x:c>
      <x:c r="C11" s="2" t="str">
        <x:v>S02-MU01</x:v>
      </x:c>
      <x:c r="D11" s="2" t="str">
        <x:v>S02-O01</x:v>
      </x:c>
      <x:c r="E11" s="2" t="str">
        <x:v>Prompting</x:v>
      </x:c>
      <x:c r="F11" s="2" t="str">
        <x:v>Chain-of-thought prompting</x:v>
      </x:c>
      <x:c r="G11" s="2" t="str">
        <x:v>CoT_prompting</x:v>
      </x:c>
      <x:c r="H11" s="6" t="str">
        <x:v>使用链式思考提示，分两步从SAD和/或源代码中提取组件名称，并定义输出格式。</x:v>
      </x:c>
      <x:c r="I11" s="2" t="str">
        <x:v>Yes</x:v>
      </x:c>
      <x:c r="J11" s="2"/>
      <x:c r="K11" s="6" t="str">
        <x:v>Prompt design</x:v>
      </x:c>
      <x:c r="L11" s="2" t="str">
        <x:v>Reasoning elicitation</x:v>
      </x:c>
      <x:c r="M11" s="2" t="str">
        <x:v>Reasoning elicitation</x:v>
      </x:c>
      <x:c r="N11" s="2" t="str">
        <x:v>Yes</x:v>
      </x:c>
      <x:c r="O11" s="2" t="str">
        <x:v>Full prompt reported</x:v>
      </x:c>
      <x:c r="P11" s="2" t="str">
        <x:v>0</x:v>
      </x:c>
      <x:c r="Q11" s="2" t="str">
        <x:v>No</x:v>
      </x:c>
      <x:c r="R11" s="2" t="str">
        <x:v>No</x:v>
      </x:c>
      <x:c r="S11" s="2" t="str">
        <x:v>No</x:v>
      </x:c>
      <x:c r="T11" s="2" t="str">
        <x:v>No</x:v>
      </x:c>
      <x:c r="U11" s="6" t="str">
        <x:v>p. 6; Section 3.2</x:v>
      </x:c>
      <x:c r="V11" s="6" t="str">
        <x:v>We use Chain-of-thought prompting to generate the simple SAM from the architecture documentation.</x:v>
      </x:c>
      <x:c r="W11" s="6" t="str">
        <x:v>ExArch使用链式思考提示，分两步并控制输出格式。</x:v>
      </x:c>
      <x:c r="X11" s="6" t="str">
        <x:v>NR</x:v>
      </x:c>
    </x:row>
    <x:row r="12" ht="76" customHeight="1">
      <x:c r="A12" s="2" t="str">
        <x:v>S02</x:v>
      </x:c>
      <x:c r="B12" s="2" t="str">
        <x:v>S02-CF02</x:v>
      </x:c>
      <x:c r="C12" s="2" t="str">
        <x:v>S02-MU02</x:v>
      </x:c>
      <x:c r="D12" s="2" t="str">
        <x:v>S02-O01</x:v>
      </x:c>
      <x:c r="E12" s="2" t="str">
        <x:v>Prompting</x:v>
      </x:c>
      <x:c r="F12" s="2" t="str">
        <x:v>Chain-of-thought prompting</x:v>
      </x:c>
      <x:c r="G12" s="2" t="str">
        <x:v>CoT_prompting</x:v>
      </x:c>
      <x:c r="H12" s="6" t="str">
        <x:v>使用链式思考提示，分两步从SAD和/或源代码中提取组件名称，并定义输出格式。</x:v>
      </x:c>
      <x:c r="I12" s="2" t="str">
        <x:v>Yes</x:v>
      </x:c>
      <x:c r="J12" s="2"/>
      <x:c r="K12" s="6" t="str">
        <x:v>Prompt design</x:v>
      </x:c>
      <x:c r="L12" s="2" t="str">
        <x:v>Reasoning elicitation</x:v>
      </x:c>
      <x:c r="M12" s="2" t="str">
        <x:v>Reasoning elicitation</x:v>
      </x:c>
      <x:c r="N12" s="2" t="str">
        <x:v>Yes</x:v>
      </x:c>
      <x:c r="O12" s="2" t="str">
        <x:v>Full prompt reported</x:v>
      </x:c>
      <x:c r="P12" s="2" t="str">
        <x:v>0</x:v>
      </x:c>
      <x:c r="Q12" s="2" t="str">
        <x:v>No</x:v>
      </x:c>
      <x:c r="R12" s="2" t="str">
        <x:v>No</x:v>
      </x:c>
      <x:c r="S12" s="2" t="str">
        <x:v>No</x:v>
      </x:c>
      <x:c r="T12" s="2" t="str">
        <x:v>No</x:v>
      </x:c>
      <x:c r="U12" s="6" t="str">
        <x:v>p. 6; Section 3.2</x:v>
      </x:c>
      <x:c r="V12" s="6" t="str">
        <x:v>We use Chain-of-thought prompting to generate the simple SAM from the architecture documentation.</x:v>
      </x:c>
      <x:c r="W12" s="6" t="str">
        <x:v>ExArch使用链式思考提示，分两步并控制输出格式。</x:v>
      </x:c>
      <x:c r="X12" s="6" t="str">
        <x:v>NR</x:v>
      </x:c>
    </x:row>
    <x:row r="13" ht="76" customHeight="1">
      <x:c r="A13" s="2" t="str">
        <x:v>S02</x:v>
      </x:c>
      <x:c r="B13" s="2" t="str">
        <x:v>S02-CF03</x:v>
      </x:c>
      <x:c r="C13" s="2" t="str">
        <x:v>S02-MU03</x:v>
      </x:c>
      <x:c r="D13" s="2" t="str">
        <x:v>S02-O01</x:v>
      </x:c>
      <x:c r="E13" s="2" t="str">
        <x:v>Prompting</x:v>
      </x:c>
      <x:c r="F13" s="2" t="str">
        <x:v>Chain-of-thought prompting</x:v>
      </x:c>
      <x:c r="G13" s="2" t="str">
        <x:v>CoT_prompting</x:v>
      </x:c>
      <x:c r="H13" s="6" t="str">
        <x:v>使用链式思考提示，分两步从SAD和/或源代码中提取组件名称，并定义输出格式。</x:v>
      </x:c>
      <x:c r="I13" s="2" t="str">
        <x:v>Yes</x:v>
      </x:c>
      <x:c r="J13" s="2"/>
      <x:c r="K13" s="6" t="str">
        <x:v>Prompt design</x:v>
      </x:c>
      <x:c r="L13" s="2" t="str">
        <x:v>Reasoning elicitation</x:v>
      </x:c>
      <x:c r="M13" s="2" t="str">
        <x:v>Reasoning elicitation</x:v>
      </x:c>
      <x:c r="N13" s="2" t="str">
        <x:v>Yes</x:v>
      </x:c>
      <x:c r="O13" s="2" t="str">
        <x:v>Full prompt reported</x:v>
      </x:c>
      <x:c r="P13" s="2" t="str">
        <x:v>0</x:v>
      </x:c>
      <x:c r="Q13" s="2" t="str">
        <x:v>No</x:v>
      </x:c>
      <x:c r="R13" s="2" t="str">
        <x:v>No</x:v>
      </x:c>
      <x:c r="S13" s="2" t="str">
        <x:v>No</x:v>
      </x:c>
      <x:c r="T13" s="2" t="str">
        <x:v>No</x:v>
      </x:c>
      <x:c r="U13" s="6" t="str">
        <x:v>p. 6; Section 3.2</x:v>
      </x:c>
      <x:c r="V13" s="6" t="str">
        <x:v>We use Chain-of-thought prompting to generate the simple SAM from the architecture documentation.</x:v>
      </x:c>
      <x:c r="W13" s="6" t="str">
        <x:v>ExArch使用链式思考提示，分两步并控制输出格式。</x:v>
      </x:c>
      <x:c r="X13" s="6" t="str">
        <x:v>NR</x:v>
      </x:c>
    </x:row>
    <x:row r="14" ht="76" customHeight="1">
      <x:c r="A14" s="2" t="str">
        <x:v>S02</x:v>
      </x:c>
      <x:c r="B14" s="2" t="str">
        <x:v>S02-CF04</x:v>
      </x:c>
      <x:c r="C14" s="2" t="str">
        <x:v>S02-MU04</x:v>
      </x:c>
      <x:c r="D14" s="2" t="str">
        <x:v>S02-O01</x:v>
      </x:c>
      <x:c r="E14" s="2" t="str">
        <x:v>Prompting</x:v>
      </x:c>
      <x:c r="F14" s="2" t="str">
        <x:v>Chain-of-thought prompting</x:v>
      </x:c>
      <x:c r="G14" s="2" t="str">
        <x:v>CoT_prompting</x:v>
      </x:c>
      <x:c r="H14" s="6" t="str">
        <x:v>使用链式思考提示，分两步从SAD和/或源代码中提取组件名称，并定义输出格式。</x:v>
      </x:c>
      <x:c r="I14" s="2" t="str">
        <x:v>Yes</x:v>
      </x:c>
      <x:c r="J14" s="2"/>
      <x:c r="K14" s="6" t="str">
        <x:v>Prompt design</x:v>
      </x:c>
      <x:c r="L14" s="2" t="str">
        <x:v>Reasoning elicitation</x:v>
      </x:c>
      <x:c r="M14" s="2" t="str">
        <x:v>Reasoning elicitation</x:v>
      </x:c>
      <x:c r="N14" s="2" t="str">
        <x:v>Yes</x:v>
      </x:c>
      <x:c r="O14" s="2" t="str">
        <x:v>Full prompt reported</x:v>
      </x:c>
      <x:c r="P14" s="2" t="str">
        <x:v>0</x:v>
      </x:c>
      <x:c r="Q14" s="2" t="str">
        <x:v>No</x:v>
      </x:c>
      <x:c r="R14" s="2" t="str">
        <x:v>No</x:v>
      </x:c>
      <x:c r="S14" s="2" t="str">
        <x:v>No</x:v>
      </x:c>
      <x:c r="T14" s="2" t="str">
        <x:v>No</x:v>
      </x:c>
      <x:c r="U14" s="6" t="str">
        <x:v>p. 6; Section 3.2</x:v>
      </x:c>
      <x:c r="V14" s="6" t="str">
        <x:v>We use Chain-of-thought prompting to generate the simple SAM from the architecture documentation.</x:v>
      </x:c>
      <x:c r="W14" s="6" t="str">
        <x:v>ExArch使用链式思考提示，分两步并控制输出格式。</x:v>
      </x:c>
      <x:c r="X14" s="6" t="str">
        <x:v>NR</x:v>
      </x:c>
    </x:row>
    <x:row r="15" ht="76" customHeight="1">
      <x:c r="A15" s="2" t="str">
        <x:v>S02</x:v>
      </x:c>
      <x:c r="B15" s="2" t="str">
        <x:v>S02-CF05</x:v>
      </x:c>
      <x:c r="C15" s="2" t="str">
        <x:v>S02-MU05</x:v>
      </x:c>
      <x:c r="D15" s="2" t="str">
        <x:v>S02-O01</x:v>
      </x:c>
      <x:c r="E15" s="2" t="str">
        <x:v>Prompting</x:v>
      </x:c>
      <x:c r="F15" s="2" t="str">
        <x:v>Chain-of-thought prompting</x:v>
      </x:c>
      <x:c r="G15" s="2" t="str">
        <x:v>CoT_prompting</x:v>
      </x:c>
      <x:c r="H15" s="6" t="str">
        <x:v>使用链式思考提示，分两步从SAD和/或源代码中提取组件名称，并定义输出格式。</x:v>
      </x:c>
      <x:c r="I15" s="2" t="str">
        <x:v>Yes</x:v>
      </x:c>
      <x:c r="J15" s="2"/>
      <x:c r="K15" s="6" t="str">
        <x:v>Prompt design</x:v>
      </x:c>
      <x:c r="L15" s="2" t="str">
        <x:v>Reasoning elicitation</x:v>
      </x:c>
      <x:c r="M15" s="2" t="str">
        <x:v>Reasoning elicitation</x:v>
      </x:c>
      <x:c r="N15" s="2" t="str">
        <x:v>Yes</x:v>
      </x:c>
      <x:c r="O15" s="2" t="str">
        <x:v>Full prompt reported</x:v>
      </x:c>
      <x:c r="P15" s="2" t="str">
        <x:v>0</x:v>
      </x:c>
      <x:c r="Q15" s="2" t="str">
        <x:v>No</x:v>
      </x:c>
      <x:c r="R15" s="2" t="str">
        <x:v>No</x:v>
      </x:c>
      <x:c r="S15" s="2" t="str">
        <x:v>No</x:v>
      </x:c>
      <x:c r="T15" s="2" t="str">
        <x:v>No</x:v>
      </x:c>
      <x:c r="U15" s="6" t="str">
        <x:v>p. 6; Section 3.2</x:v>
      </x:c>
      <x:c r="V15" s="6" t="str">
        <x:v>We use Chain-of-thought prompting to generate the simple SAM from the architecture documentation.</x:v>
      </x:c>
      <x:c r="W15" s="6" t="str">
        <x:v>ExArch使用链式思考提示，分两步并控制输出格式。</x:v>
      </x:c>
      <x:c r="X15" s="6" t="str">
        <x:v>NR</x:v>
      </x:c>
    </x:row>
    <x:row r="16" ht="76" customHeight="1">
      <x:c r="A16" s="2" t="str">
        <x:v>S02</x:v>
      </x:c>
      <x:c r="B16" s="2" t="str">
        <x:v>S02-CF06</x:v>
      </x:c>
      <x:c r="C16" s="2" t="str">
        <x:v>S02-MU06</x:v>
      </x:c>
      <x:c r="D16" s="2" t="str">
        <x:v>S02-O01</x:v>
      </x:c>
      <x:c r="E16" s="2" t="str">
        <x:v>Prompting</x:v>
      </x:c>
      <x:c r="F16" s="2" t="str">
        <x:v>Chain-of-thought prompting</x:v>
      </x:c>
      <x:c r="G16" s="2" t="str">
        <x:v>CoT_prompting</x:v>
      </x:c>
      <x:c r="H16" s="6" t="str">
        <x:v>使用链式思考提示，分两步从SAD和/或源代码中提取组件名称，并定义输出格式。</x:v>
      </x:c>
      <x:c r="I16" s="2" t="str">
        <x:v>Yes</x:v>
      </x:c>
      <x:c r="J16" s="2"/>
      <x:c r="K16" s="6" t="str">
        <x:v>Prompt design</x:v>
      </x:c>
      <x:c r="L16" s="2" t="str">
        <x:v>Reasoning elicitation</x:v>
      </x:c>
      <x:c r="M16" s="2" t="str">
        <x:v>Reasoning elicitation</x:v>
      </x:c>
      <x:c r="N16" s="2" t="str">
        <x:v>Yes</x:v>
      </x:c>
      <x:c r="O16" s="2" t="str">
        <x:v>Full prompt reported</x:v>
      </x:c>
      <x:c r="P16" s="2" t="str">
        <x:v>0</x:v>
      </x:c>
      <x:c r="Q16" s="2" t="str">
        <x:v>No</x:v>
      </x:c>
      <x:c r="R16" s="2" t="str">
        <x:v>No</x:v>
      </x:c>
      <x:c r="S16" s="2" t="str">
        <x:v>No</x:v>
      </x:c>
      <x:c r="T16" s="2" t="str">
        <x:v>No</x:v>
      </x:c>
      <x:c r="U16" s="6" t="str">
        <x:v>p. 6; Section 3.2</x:v>
      </x:c>
      <x:c r="V16" s="6" t="str">
        <x:v>We use Chain-of-thought prompting to generate the simple SAM from the architecture documentation.</x:v>
      </x:c>
      <x:c r="W16" s="6" t="str">
        <x:v>ExArch使用链式思考提示，分两步并控制输出格式。</x:v>
      </x:c>
      <x:c r="X16" s="6" t="str">
        <x:v>NR</x:v>
      </x:c>
    </x:row>
    <x:row r="17" ht="76" customHeight="1">
      <x:c r="A17" s="2" t="str">
        <x:v>S02</x:v>
      </x:c>
      <x:c r="B17" s="2" t="str">
        <x:v>S02-CF07</x:v>
      </x:c>
      <x:c r="C17" s="2" t="str">
        <x:v>S02-MU07</x:v>
      </x:c>
      <x:c r="D17" s="2" t="str">
        <x:v>S02-O01</x:v>
      </x:c>
      <x:c r="E17" s="2" t="str">
        <x:v>Prompting</x:v>
      </x:c>
      <x:c r="F17" s="2" t="str">
        <x:v>Chain-of-thought prompting</x:v>
      </x:c>
      <x:c r="G17" s="2" t="str">
        <x:v>CoT_prompting</x:v>
      </x:c>
      <x:c r="H17" s="6" t="str">
        <x:v>使用链式思考提示，分两步从SAD和/或源代码中提取组件名称，并定义输出格式。</x:v>
      </x:c>
      <x:c r="I17" s="2" t="str">
        <x:v>Yes</x:v>
      </x:c>
      <x:c r="J17" s="2"/>
      <x:c r="K17" s="6" t="str">
        <x:v>Prompt design</x:v>
      </x:c>
      <x:c r="L17" s="2" t="str">
        <x:v>Reasoning elicitation</x:v>
      </x:c>
      <x:c r="M17" s="2" t="str">
        <x:v>Reasoning elicitation</x:v>
      </x:c>
      <x:c r="N17" s="2" t="str">
        <x:v>Yes</x:v>
      </x:c>
      <x:c r="O17" s="2" t="str">
        <x:v>Full prompt reported</x:v>
      </x:c>
      <x:c r="P17" s="2" t="str">
        <x:v>0</x:v>
      </x:c>
      <x:c r="Q17" s="2" t="str">
        <x:v>No</x:v>
      </x:c>
      <x:c r="R17" s="2" t="str">
        <x:v>No</x:v>
      </x:c>
      <x:c r="S17" s="2" t="str">
        <x:v>No</x:v>
      </x:c>
      <x:c r="T17" s="2" t="str">
        <x:v>No</x:v>
      </x:c>
      <x:c r="U17" s="6" t="str">
        <x:v>p. 6; Section 3.2</x:v>
      </x:c>
      <x:c r="V17" s="6" t="str">
        <x:v>We use Chain-of-thought prompting to generate the simple SAM from the architecture documentation.</x:v>
      </x:c>
      <x:c r="W17" s="6" t="str">
        <x:v>ExArch使用链式思考提示，分两步并控制输出格式。</x:v>
      </x:c>
      <x:c r="X17" s="6" t="str">
        <x:v>NR</x:v>
      </x:c>
    </x:row>
    <x:row r="18" ht="76" customHeight="1">
      <x:c r="A18" s="2" t="str">
        <x:v>S02</x:v>
      </x:c>
      <x:c r="B18" s="2" t="str">
        <x:v>S02-CF08</x:v>
      </x:c>
      <x:c r="C18" s="2" t="str">
        <x:v>S02-MU08</x:v>
      </x:c>
      <x:c r="D18" s="2" t="str">
        <x:v>S02-O01</x:v>
      </x:c>
      <x:c r="E18" s="2" t="str">
        <x:v>Prompting</x:v>
      </x:c>
      <x:c r="F18" s="2" t="str">
        <x:v>Chain-of-thought prompting</x:v>
      </x:c>
      <x:c r="G18" s="2" t="str">
        <x:v>CoT_prompting</x:v>
      </x:c>
      <x:c r="H18" s="6" t="str">
        <x:v>使用链式思考提示，分两步从SAD和/或源代码中提取组件名称，并定义输出格式。</x:v>
      </x:c>
      <x:c r="I18" s="2" t="str">
        <x:v>Yes</x:v>
      </x:c>
      <x:c r="J18" s="2"/>
      <x:c r="K18" s="6" t="str">
        <x:v>Prompt design</x:v>
      </x:c>
      <x:c r="L18" s="2" t="str">
        <x:v>Reasoning elicitation</x:v>
      </x:c>
      <x:c r="M18" s="2" t="str">
        <x:v>Reasoning elicitation</x:v>
      </x:c>
      <x:c r="N18" s="2" t="str">
        <x:v>Yes</x:v>
      </x:c>
      <x:c r="O18" s="2" t="str">
        <x:v>Full prompt reported</x:v>
      </x:c>
      <x:c r="P18" s="2" t="str">
        <x:v>0</x:v>
      </x:c>
      <x:c r="Q18" s="2" t="str">
        <x:v>No</x:v>
      </x:c>
      <x:c r="R18" s="2" t="str">
        <x:v>No</x:v>
      </x:c>
      <x:c r="S18" s="2" t="str">
        <x:v>No</x:v>
      </x:c>
      <x:c r="T18" s="2" t="str">
        <x:v>No</x:v>
      </x:c>
      <x:c r="U18" s="6" t="str">
        <x:v>p. 6; Section 3.2</x:v>
      </x:c>
      <x:c r="V18" s="6" t="str">
        <x:v>We use Chain-of-thought prompting to generate the simple SAM from the architecture documentation.</x:v>
      </x:c>
      <x:c r="W18" s="6" t="str">
        <x:v>ExArch使用链式思考提示，分两步并控制输出格式。</x:v>
      </x:c>
      <x:c r="X18" s="6" t="str">
        <x:v>NR</x:v>
      </x:c>
    </x:row>
    <x:row r="19" ht="76" customHeight="1">
      <x:c r="A19" s="2" t="str">
        <x:v>S02</x:v>
      </x:c>
      <x:c r="B19" s="2" t="str">
        <x:v>S02-CF09</x:v>
      </x:c>
      <x:c r="C19" s="2" t="str">
        <x:v>S02-MU12</x:v>
      </x:c>
      <x:c r="D19" s="2" t="str">
        <x:v>S02-O03</x:v>
      </x:c>
      <x:c r="E19" s="2" t="str">
        <x:v>Prompting</x:v>
      </x:c>
      <x:c r="F19" s="2" t="str">
        <x:v>Two-prompt NER strategy</x:v>
      </x:c>
      <x:c r="G19" s="2" t="str">
        <x:v>two_prompt_NER</x:v>
      </x:c>
      <x:c r="H19" s="6" t="str">
        <x:v>使用两个提示，第一个进行任务描述和实体识别，第二个将输出转换为JSON格式。</x:v>
      </x:c>
      <x:c r="I19" s="2" t="str">
        <x:v>Yes</x:v>
      </x:c>
      <x:c r="J19" s="2"/>
      <x:c r="K19" s="6" t="str">
        <x:v>Prompt design</x:v>
      </x:c>
      <x:c r="L19" s="2" t="str">
        <x:v>Iterative or staged prompting</x:v>
      </x:c>
      <x:c r="M19" s="2" t="str">
        <x:v>Iterative or staged prompting; Structured/template prompting</x:v>
      </x:c>
      <x:c r="N19" s="2" t="str">
        <x:v>Yes</x:v>
      </x:c>
      <x:c r="O19" s="2" t="str">
        <x:v>Full prompt reported</x:v>
      </x:c>
      <x:c r="P19" s="2" t="str">
        <x:v>0</x:v>
      </x:c>
      <x:c r="Q19" s="2" t="str">
        <x:v>No</x:v>
      </x:c>
      <x:c r="R19" s="2" t="str">
        <x:v>No</x:v>
      </x:c>
      <x:c r="S19" s="2" t="str">
        <x:v>No</x:v>
      </x:c>
      <x:c r="T19" s="2" t="str">
        <x:v>No</x:v>
      </x:c>
      <x:c r="U19" s="6" t="str">
        <x:v>p. 8; Section 4</x:v>
      </x:c>
      <x:c r="V19" s="6" t="str">
        <x:v>For the first step, the identification of architectural entities, ArTEMiS uses a two-prompt strategy.</x:v>
      </x:c>
      <x:c r="W19" s="6" t="str">
        <x:v>ArTEMiS两步提示策略，分离任务描述和格式化输出，确保解析可靠性。</x:v>
      </x:c>
      <x:c r="X19" s="6" t="str">
        <x:v>NR</x:v>
      </x:c>
    </x:row>
    <x:row r="20" ht="76" customHeight="1">
      <x:c r="A20" s="2" t="str">
        <x:v>S02</x:v>
      </x:c>
      <x:c r="B20" s="2" t="str">
        <x:v>S02-CF10</x:v>
      </x:c>
      <x:c r="C20" s="2" t="str">
        <x:v>S02-MU13</x:v>
      </x:c>
      <x:c r="D20" s="2" t="str">
        <x:v>S02-O03</x:v>
      </x:c>
      <x:c r="E20" s="2" t="str">
        <x:v>Prompting</x:v>
      </x:c>
      <x:c r="F20" s="2" t="str">
        <x:v>Two-prompt NER strategy</x:v>
      </x:c>
      <x:c r="G20" s="2" t="str">
        <x:v>two_prompt_NER</x:v>
      </x:c>
      <x:c r="H20" s="6" t="str">
        <x:v>使用两个提示，第一个进行任务描述和实体识别，第二个将输出转换为JSON格式。</x:v>
      </x:c>
      <x:c r="I20" s="2" t="str">
        <x:v>Yes</x:v>
      </x:c>
      <x:c r="J20" s="2"/>
      <x:c r="K20" s="6" t="str">
        <x:v>Prompt design</x:v>
      </x:c>
      <x:c r="L20" s="2" t="str">
        <x:v>Iterative or staged prompting</x:v>
      </x:c>
      <x:c r="M20" s="2" t="str">
        <x:v>Iterative or staged prompting; Structured/template prompting</x:v>
      </x:c>
      <x:c r="N20" s="2" t="str">
        <x:v>Yes</x:v>
      </x:c>
      <x:c r="O20" s="2" t="str">
        <x:v>Full prompt reported</x:v>
      </x:c>
      <x:c r="P20" s="2" t="str">
        <x:v>0</x:v>
      </x:c>
      <x:c r="Q20" s="2" t="str">
        <x:v>No</x:v>
      </x:c>
      <x:c r="R20" s="2" t="str">
        <x:v>No</x:v>
      </x:c>
      <x:c r="S20" s="2" t="str">
        <x:v>No</x:v>
      </x:c>
      <x:c r="T20" s="2" t="str">
        <x:v>No</x:v>
      </x:c>
      <x:c r="U20" s="6" t="str">
        <x:v>p. 8; Section 4</x:v>
      </x:c>
      <x:c r="V20" s="6" t="str">
        <x:v>For the first step, the identification of architectural entities, ArTEMiS uses a two-prompt strategy.</x:v>
      </x:c>
      <x:c r="W20" s="6" t="str">
        <x:v>ArTEMiS两步提示策略，分离任务描述和格式化输出，确保解析可靠性。</x:v>
      </x:c>
      <x:c r="X20" s="6" t="str">
        <x:v>NR</x:v>
      </x:c>
    </x:row>
    <x:row r="21" ht="76" customHeight="1">
      <x:c r="A21" s="2" t="str">
        <x:v>S02</x:v>
      </x:c>
      <x:c r="B21" s="2" t="str">
        <x:v>S02-CF11</x:v>
      </x:c>
      <x:c r="C21" s="2" t="str">
        <x:v>S02-MU14</x:v>
      </x:c>
      <x:c r="D21" s="2" t="str">
        <x:v>S02-O03</x:v>
      </x:c>
      <x:c r="E21" s="2" t="str">
        <x:v>Prompting</x:v>
      </x:c>
      <x:c r="F21" s="2" t="str">
        <x:v>Two-prompt NER strategy</x:v>
      </x:c>
      <x:c r="G21" s="2" t="str">
        <x:v>two_prompt_NER</x:v>
      </x:c>
      <x:c r="H21" s="6" t="str">
        <x:v>使用两个提示，第一个进行任务描述和实体识别，第二个将输出转换为JSON格式。</x:v>
      </x:c>
      <x:c r="I21" s="2" t="str">
        <x:v>Yes</x:v>
      </x:c>
      <x:c r="J21" s="2"/>
      <x:c r="K21" s="6" t="str">
        <x:v>Prompt design</x:v>
      </x:c>
      <x:c r="L21" s="2" t="str">
        <x:v>Iterative or staged prompting</x:v>
      </x:c>
      <x:c r="M21" s="2" t="str">
        <x:v>Iterative or staged prompting; Structured/template prompting</x:v>
      </x:c>
      <x:c r="N21" s="2" t="str">
        <x:v>Yes</x:v>
      </x:c>
      <x:c r="O21" s="2" t="str">
        <x:v>Full prompt reported</x:v>
      </x:c>
      <x:c r="P21" s="2" t="str">
        <x:v>0</x:v>
      </x:c>
      <x:c r="Q21" s="2" t="str">
        <x:v>No</x:v>
      </x:c>
      <x:c r="R21" s="2" t="str">
        <x:v>No</x:v>
      </x:c>
      <x:c r="S21" s="2" t="str">
        <x:v>No</x:v>
      </x:c>
      <x:c r="T21" s="2" t="str">
        <x:v>No</x:v>
      </x:c>
      <x:c r="U21" s="6" t="str">
        <x:v>p. 8; Section 4</x:v>
      </x:c>
      <x:c r="V21" s="6" t="str">
        <x:v>For the first step, the identification of architectural entities, ArTEMiS uses a two-prompt strategy.</x:v>
      </x:c>
      <x:c r="W21" s="6" t="str">
        <x:v>ArTEMiS两步提示策略，分离任务描述和格式化输出，确保解析可靠性。</x:v>
      </x:c>
      <x:c r="X21" s="6" t="str">
        <x:v>NR</x:v>
      </x:c>
    </x:row>
    <x:row r="22" ht="76" customHeight="1">
      <x:c r="A22" s="2" t="str">
        <x:v>S03</x:v>
      </x:c>
      <x:c r="B22" s="2" t="str">
        <x:v>S03-CF01</x:v>
      </x:c>
      <x:c r="C22" s="2" t="str">
        <x:v>S03-MU01</x:v>
      </x:c>
      <x:c r="D22" s="2" t="str">
        <x:v>S03-O01</x:v>
      </x:c>
      <x:c r="E22" s="2" t="str">
        <x:v>Prompting</x:v>
      </x:c>
      <x:c r="F22" s="2" t="str">
        <x:v>Zero-shot prompting</x:v>
      </x:c>
      <x:c r="G22" s="2" t="str">
        <x:v>zero-shot-prompting</x:v>
      </x:c>
      <x:c r="H22" s="6" t="str">
        <x:v>使用零样本提示，将领域服务作为上下文，输入类体（包括注释）生成领域意图</x:v>
      </x:c>
      <x:c r="I22" s="2" t="str">
        <x:v>Yes</x:v>
      </x:c>
      <x:c r="J22" s="2"/>
      <x:c r="K22" s="6" t="str">
        <x:v>Prompt design</x:v>
      </x:c>
      <x:c r="L22" s="2" t="str">
        <x:v>Few-shot/in-context examples</x:v>
      </x:c>
      <x:c r="M22" s="2" t="str">
        <x:v>Few-shot/in-context examples; Zero-shot prompting</x:v>
      </x:c>
      <x:c r="N22" s="2" t="str">
        <x:v>Yes</x:v>
      </x:c>
      <x:c r="O22" s="2" t="str">
        <x:v>Partial description</x:v>
      </x:c>
      <x:c r="P22" s="2" t="str">
        <x:v>0</x:v>
      </x:c>
      <x:c r="Q22" s="2" t="str">
        <x:v>No</x:v>
      </x:c>
      <x:c r="R22" s="2" t="str">
        <x:v>No</x:v>
      </x:c>
      <x:c r="S22" s="2" t="str">
        <x:v>No</x:v>
      </x:c>
      <x:c r="T22" s="2" t="str">
        <x:v>No</x:v>
      </x:c>
      <x:c r="U22" s="6" t="str">
        <x:v>p. 2; Section 3.1 C</x:v>
      </x:c>
      <x:c r="V22" s="6" t="str">
        <x:v>The domain intent is generated by systematically prompting the LLMs using a zero-shot prompting technique with the domain services from the domain model as a context. The prompt contains class body including comments.</x:v>
      </x:c>
      <x:c r="W22" s="6" t="str">
        <x:v>提示策略为零样本，将领域服务作为上下文，包含类体；完整提示未提供</x:v>
      </x:c>
      <x:c r="X22" s="6" t="str">
        <x:v>NA</x:v>
      </x:c>
    </x:row>
    <x:row r="23" ht="76" customHeight="1">
      <x:c r="A23" s="2" t="str">
        <x:v>S04</x:v>
      </x:c>
      <x:c r="B23" s="2" t="str">
        <x:v>S04-CF01</x:v>
      </x:c>
      <x:c r="C23" s="2" t="str">
        <x:v>S04-MU01</x:v>
      </x:c>
      <x:c r="D23" s="2" t="str">
        <x:v>S04-O01</x:v>
      </x:c>
      <x:c r="E23" s="2" t="str">
        <x:v>Prompting</x:v>
      </x:c>
      <x:c r="F23" s="2" t="str">
        <x:v>Zero-Shot (0S) approach utilizing a meticulously crafted prompt</x:v>
      </x:c>
      <x:c r="G23" s="2" t="str">
        <x:v>zero-shot-prompting</x:v>
      </x:c>
      <x:c r="H23" s="6" t="str">
        <x:v>采用零样本提示策略，精心的系统角色提示包含任务描述、输入约束和输出格式要求，用户角色为空</x:v>
      </x:c>
      <x:c r="I23" s="2" t="str">
        <x:v>Yes</x:v>
      </x:c>
      <x:c r="J23" s="2"/>
      <x:c r="K23" s="6" t="str">
        <x:v>Prompt design</x:v>
      </x:c>
      <x:c r="L23" s="2" t="str">
        <x:v>Few-shot/in-context examples</x:v>
      </x:c>
      <x:c r="M23" s="2" t="str">
        <x:v>Few-shot/in-context examples; Zero-shot prompting</x:v>
      </x:c>
      <x:c r="N23" s="2" t="str">
        <x:v>Yes</x:v>
      </x:c>
      <x:c r="O23" s="2" t="str">
        <x:v>Full prompt reported</x:v>
      </x:c>
      <x:c r="P23" s="2" t="str">
        <x:v>0</x:v>
      </x:c>
      <x:c r="Q23" s="2" t="str">
        <x:v>No</x:v>
      </x:c>
      <x:c r="R23" s="2" t="str">
        <x:v>No</x:v>
      </x:c>
      <x:c r="S23" s="2" t="str">
        <x:v>No</x:v>
      </x:c>
      <x:c r="T23" s="2" t="str">
        <x:v>NR</x:v>
      </x:c>
      <x:c r="U23" s="6" t="str">
        <x:v>p. 1; Abstract and Section 4</x:v>
      </x:c>
      <x:c r="V23" s="6" t="str">
        <x:v>We employ a Zero-Shot (0S) approach utilizing GPT-3.5-turbo, enhanced by employing a meticulously crafted prompt.</x:v>
      </x:c>
      <x:c r="W23" s="6" t="str">
        <x:v>该方法的核心是一个精心设计的零样本提示，提示内容完整给出，无检索增强或微调</x:v>
      </x:c>
      <x:c r="X23" s="6" t="str">
        <x:v>Fig.5 shows the full system role prompt; user role is empty</x:v>
      </x:c>
    </x:row>
    <x:row r="24" ht="76" customHeight="1">
      <x:c r="A24" s="2" t="str">
        <x:v>S05</x:v>
      </x:c>
      <x:c r="B24" s="2" t="str">
        <x:v>S05-CF01</x:v>
      </x:c>
      <x:c r="C24" s="2" t="str">
        <x:v>S05-MU03</x:v>
      </x:c>
      <x:c r="D24" s="2" t="str">
        <x:v>S05-O03</x:v>
      </x:c>
      <x:c r="E24" s="2" t="str">
        <x:v>Context construction</x:v>
      </x:c>
      <x:c r="F24" s="2" t="str">
        <x:v>structured prompt</x:v>
      </x:c>
      <x:c r="G24" s="2" t="str">
        <x:v>structured_prompt</x:v>
      </x:c>
      <x:c r="H24" s="6" t="str">
        <x:v>使用结构化JSON格式，将指令、上下文（代码构件列表）和待分析文档片段分离输入LLM。</x:v>
      </x:c>
      <x:c r="I24" s="2" t="str">
        <x:v>Yes</x:v>
      </x:c>
      <x:c r="J24" s="2"/>
      <x:c r="K24" s="6" t="str">
        <x:v>Input and context construction</x:v>
      </x:c>
      <x:c r="L24" s="2" t="str">
        <x:v>Artifact packaging and scope</x:v>
      </x:c>
      <x:c r="M24" s="2" t="str">
        <x:v>Structured/template prompting</x:v>
      </x:c>
      <x:c r="N24" s="2" t="str">
        <x:v>Yes</x:v>
      </x:c>
      <x:c r="O24" s="2" t="str">
        <x:v>Full prompt reported</x:v>
      </x:c>
      <x:c r="P24" s="2" t="str">
        <x:v>0</x:v>
      </x:c>
      <x:c r="Q24" s="2" t="str">
        <x:v>No</x:v>
      </x:c>
      <x:c r="R24" s="2" t="str">
        <x:v>No</x:v>
      </x:c>
      <x:c r="S24" s="2" t="str">
        <x:v>No</x:v>
      </x:c>
      <x:c r="T24" s="2" t="str">
        <x:v>NA</x:v>
      </x:c>
      <x:c r="U24" s="6" t="str">
        <x:v>p. 14; Section 3.4</x:v>
      </x:c>
      <x:c r="V24" s="6" t="str">
        <x:v>input schema to provide the LLM with separate, well-organized fields for instructions, context (available code artifacts), and the documentation segment under analysis [6, 54]. This design ensures</x:v>
      </x:c>
      <x:c r="W24" s="6" t="str">
        <x:v>该特征通过结构化输入减轻了LLM处理混合信息的负担。</x:v>
      </x:c>
      <x:c r="X24" s="6" t="str">
        <x:v>Complete versions of the prompts are provided in the Appendix. (p.14)</x:v>
      </x:c>
    </x:row>
    <x:row r="25" ht="76" customHeight="1">
      <x:c r="A25" s="2" t="str">
        <x:v>S05</x:v>
      </x:c>
      <x:c r="B25" s="2" t="str">
        <x:v>S05-CF02</x:v>
      </x:c>
      <x:c r="C25" s="2" t="str">
        <x:v>S05-MU06</x:v>
      </x:c>
      <x:c r="D25" s="2" t="str">
        <x:v>S05-O03</x:v>
      </x:c>
      <x:c r="E25" s="2" t="str">
        <x:v>Context construction</x:v>
      </x:c>
      <x:c r="F25" s="2" t="str">
        <x:v>structured prompt</x:v>
      </x:c>
      <x:c r="G25" s="2" t="str">
        <x:v>structured_prompt</x:v>
      </x:c>
      <x:c r="H25" s="6" t="str">
        <x:v>使用结构化JSON格式，将指令、上下文（代码构件列表）和待分析文档片段分离输入LLM。</x:v>
      </x:c>
      <x:c r="I25" s="2" t="str">
        <x:v>Yes</x:v>
      </x:c>
      <x:c r="J25" s="2"/>
      <x:c r="K25" s="6" t="str">
        <x:v>Input and context construction</x:v>
      </x:c>
      <x:c r="L25" s="2" t="str">
        <x:v>Artifact packaging and scope</x:v>
      </x:c>
      <x:c r="M25" s="2" t="str">
        <x:v>Structured/template prompting</x:v>
      </x:c>
      <x:c r="N25" s="2" t="str">
        <x:v>Yes</x:v>
      </x:c>
      <x:c r="O25" s="2" t="str">
        <x:v>Full prompt reported</x:v>
      </x:c>
      <x:c r="P25" s="2" t="str">
        <x:v>0</x:v>
      </x:c>
      <x:c r="Q25" s="2" t="str">
        <x:v>No</x:v>
      </x:c>
      <x:c r="R25" s="2" t="str">
        <x:v>No</x:v>
      </x:c>
      <x:c r="S25" s="2" t="str">
        <x:v>No</x:v>
      </x:c>
      <x:c r="T25" s="2" t="str">
        <x:v>NA</x:v>
      </x:c>
      <x:c r="U25" s="6" t="str">
        <x:v>p. 14; Section 3.4</x:v>
      </x:c>
      <x:c r="V25" s="6" t="str">
        <x:v>input schema to provide the LLM with separate, well-organized fields for instructions, context (available code artifacts), and the documentation segment under analysis [6, 54]. This design ensures</x:v>
      </x:c>
      <x:c r="W25" s="6" t="str">
        <x:v>该特征通过结构化输入减轻了LLM处理混合信息的负担。</x:v>
      </x:c>
      <x:c r="X25" s="6" t="str">
        <x:v>Complete versions of the prompts are provided in the Appendix. (p.14)</x:v>
      </x:c>
    </x:row>
    <x:row r="26" ht="76" customHeight="1">
      <x:c r="A26" s="2" t="str">
        <x:v>S05</x:v>
      </x:c>
      <x:c r="B26" s="2" t="str">
        <x:v>S05-CF03</x:v>
      </x:c>
      <x:c r="C26" s="2" t="str">
        <x:v>S05-MU09</x:v>
      </x:c>
      <x:c r="D26" s="2" t="str">
        <x:v>S05-O03</x:v>
      </x:c>
      <x:c r="E26" s="2" t="str">
        <x:v>Context construction</x:v>
      </x:c>
      <x:c r="F26" s="2" t="str">
        <x:v>structured prompt</x:v>
      </x:c>
      <x:c r="G26" s="2" t="str">
        <x:v>structured_prompt</x:v>
      </x:c>
      <x:c r="H26" s="6" t="str">
        <x:v>使用结构化JSON格式，将指令、上下文（代码构件列表）和待分析文档片段分离输入LLM。</x:v>
      </x:c>
      <x:c r="I26" s="2" t="str">
        <x:v>Yes</x:v>
      </x:c>
      <x:c r="J26" s="2"/>
      <x:c r="K26" s="6" t="str">
        <x:v>Input and context construction</x:v>
      </x:c>
      <x:c r="L26" s="2" t="str">
        <x:v>Artifact packaging and scope</x:v>
      </x:c>
      <x:c r="M26" s="2" t="str">
        <x:v>Structured/template prompting</x:v>
      </x:c>
      <x:c r="N26" s="2" t="str">
        <x:v>Yes</x:v>
      </x:c>
      <x:c r="O26" s="2" t="str">
        <x:v>Full prompt reported</x:v>
      </x:c>
      <x:c r="P26" s="2" t="str">
        <x:v>0</x:v>
      </x:c>
      <x:c r="Q26" s="2" t="str">
        <x:v>No</x:v>
      </x:c>
      <x:c r="R26" s="2" t="str">
        <x:v>No</x:v>
      </x:c>
      <x:c r="S26" s="2" t="str">
        <x:v>No</x:v>
      </x:c>
      <x:c r="T26" s="2" t="str">
        <x:v>NA</x:v>
      </x:c>
      <x:c r="U26" s="6" t="str">
        <x:v>p. 14; Section 3.4</x:v>
      </x:c>
      <x:c r="V26" s="6" t="str">
        <x:v>input schema to provide the LLM with separate, well-organized fields for instructions, context (available code artifacts), and the documentation segment under analysis [6, 54]. This design ensures</x:v>
      </x:c>
      <x:c r="W26" s="6" t="str">
        <x:v>该特征通过结构化输入减轻了LLM处理混合信息的负担。</x:v>
      </x:c>
      <x:c r="X26" s="6" t="str">
        <x:v>Complete versions of the prompts are provided in the Appendix. (p.14)</x:v>
      </x:c>
    </x:row>
    <x:row r="27" ht="76" customHeight="1">
      <x:c r="A27" s="2" t="str">
        <x:v>S05</x:v>
      </x:c>
      <x:c r="B27" s="2" t="str">
        <x:v>S05-CF04</x:v>
      </x:c>
      <x:c r="C27" s="2" t="str">
        <x:v>S05-MU03</x:v>
      </x:c>
      <x:c r="D27" s="2" t="str">
        <x:v>S05-O03</x:v>
      </x:c>
      <x:c r="E27" s="2" t="str">
        <x:v>Context construction</x:v>
      </x:c>
      <x:c r="F27" s="2" t="str">
        <x:v>one-to-many matching strategy</x:v>
      </x:c>
      <x:c r="G27" s="2" t="str">
        <x:v>one_to_many_matching</x:v>
      </x:c>
      <x:c r="H27" s="6" t="str">
        <x:v>将单个文档片段与所有候选代码构件同时进行匹配，而非逐对比较。</x:v>
      </x:c>
      <x:c r="I27" s="2" t="str">
        <x:v>Yes</x:v>
      </x:c>
      <x:c r="J27" s="2"/>
      <x:c r="K27" s="6" t="str">
        <x:v>Input and context construction</x:v>
      </x:c>
      <x:c r="L27" s="2" t="str">
        <x:v>Artifact packaging and scope</x:v>
      </x:c>
      <x:c r="M27" s="2"/>
      <x:c r="N27" s="2" t="str">
        <x:v>NA</x:v>
      </x:c>
      <x:c r="O27" s="2" t="str">
        <x:v>NA</x:v>
      </x:c>
      <x:c r="P27" s="2" t="str">
        <x:v>NA</x:v>
      </x:c>
      <x:c r="Q27" s="2" t="str">
        <x:v>No</x:v>
      </x:c>
      <x:c r="R27" s="2" t="str">
        <x:v>No</x:v>
      </x:c>
      <x:c r="S27" s="2" t="str">
        <x:v>No</x:v>
      </x:c>
      <x:c r="T27" s="2" t="str">
        <x:v>NA</x:v>
      </x:c>
      <x:c r="U27" s="6" t="str">
        <x:v>p. 2; Section 1</x:v>
      </x:c>
      <x:c r="V27" s="6" t="str">
        <x:v>one-to-many matching strategy—where each documentation segment is evaluated against all potential code artifacts simultaneously</x:v>
      </x:c>
      <x:c r="W27" s="6" t="str">
        <x:v>该策略避免了对每个文档-代码对进行单独查询，提高了效率，但需要LLM处理更长的上下文。</x:v>
      </x:c>
      <x:c r="X27" s="6" t="str">
        <x:v>NA</x:v>
      </x:c>
    </x:row>
    <x:row r="28" ht="76" customHeight="1">
      <x:c r="A28" s="2" t="str">
        <x:v>S05</x:v>
      </x:c>
      <x:c r="B28" s="2" t="str">
        <x:v>S05-CF05</x:v>
      </x:c>
      <x:c r="C28" s="2" t="str">
        <x:v>S05-MU06</x:v>
      </x:c>
      <x:c r="D28" s="2" t="str">
        <x:v>S05-O03</x:v>
      </x:c>
      <x:c r="E28" s="2" t="str">
        <x:v>Context construction</x:v>
      </x:c>
      <x:c r="F28" s="2" t="str">
        <x:v>one-to-many matching strategy</x:v>
      </x:c>
      <x:c r="G28" s="2" t="str">
        <x:v>one_to_many_matching</x:v>
      </x:c>
      <x:c r="H28" s="6" t="str">
        <x:v>将单个文档片段与所有候选代码构件同时进行匹配，而非逐对比较。</x:v>
      </x:c>
      <x:c r="I28" s="2" t="str">
        <x:v>Yes</x:v>
      </x:c>
      <x:c r="J28" s="2"/>
      <x:c r="K28" s="6" t="str">
        <x:v>Input and context construction</x:v>
      </x:c>
      <x:c r="L28" s="2" t="str">
        <x:v>Artifact packaging and scope</x:v>
      </x:c>
      <x:c r="M28" s="2"/>
      <x:c r="N28" s="2" t="str">
        <x:v>NA</x:v>
      </x:c>
      <x:c r="O28" s="2" t="str">
        <x:v>NA</x:v>
      </x:c>
      <x:c r="P28" s="2" t="str">
        <x:v>NA</x:v>
      </x:c>
      <x:c r="Q28" s="2" t="str">
        <x:v>No</x:v>
      </x:c>
      <x:c r="R28" s="2" t="str">
        <x:v>No</x:v>
      </x:c>
      <x:c r="S28" s="2" t="str">
        <x:v>No</x:v>
      </x:c>
      <x:c r="T28" s="2" t="str">
        <x:v>NA</x:v>
      </x:c>
      <x:c r="U28" s="6" t="str">
        <x:v>p. 2; Section 1</x:v>
      </x:c>
      <x:c r="V28" s="6" t="str">
        <x:v>one-to-many matching strategy—where each documentation segment is evaluated against all potential code artifacts simultaneously</x:v>
      </x:c>
      <x:c r="W28" s="6" t="str">
        <x:v>该策略避免了对每个文档-代码对进行单独查询，提高了效率，但需要LLM处理更长的上下文。</x:v>
      </x:c>
      <x:c r="X28" s="6" t="str">
        <x:v>NA</x:v>
      </x:c>
    </x:row>
    <x:row r="29" ht="76" customHeight="1">
      <x:c r="A29" s="2" t="str">
        <x:v>S05</x:v>
      </x:c>
      <x:c r="B29" s="2" t="str">
        <x:v>S05-CF06</x:v>
      </x:c>
      <x:c r="C29" s="2" t="str">
        <x:v>S05-MU09</x:v>
      </x:c>
      <x:c r="D29" s="2" t="str">
        <x:v>S05-O03</x:v>
      </x:c>
      <x:c r="E29" s="2" t="str">
        <x:v>Context construction</x:v>
      </x:c>
      <x:c r="F29" s="2" t="str">
        <x:v>one-to-many matching strategy</x:v>
      </x:c>
      <x:c r="G29" s="2" t="str">
        <x:v>one_to_many_matching</x:v>
      </x:c>
      <x:c r="H29" s="6" t="str">
        <x:v>将单个文档片段与所有候选代码构件同时进行匹配，而非逐对比较。</x:v>
      </x:c>
      <x:c r="I29" s="2" t="str">
        <x:v>Yes</x:v>
      </x:c>
      <x:c r="J29" s="2"/>
      <x:c r="K29" s="6" t="str">
        <x:v>Input and context construction</x:v>
      </x:c>
      <x:c r="L29" s="2" t="str">
        <x:v>Artifact packaging and scope</x:v>
      </x:c>
      <x:c r="M29" s="2"/>
      <x:c r="N29" s="2" t="str">
        <x:v>NA</x:v>
      </x:c>
      <x:c r="O29" s="2" t="str">
        <x:v>NA</x:v>
      </x:c>
      <x:c r="P29" s="2" t="str">
        <x:v>NA</x:v>
      </x:c>
      <x:c r="Q29" s="2" t="str">
        <x:v>No</x:v>
      </x:c>
      <x:c r="R29" s="2" t="str">
        <x:v>No</x:v>
      </x:c>
      <x:c r="S29" s="2" t="str">
        <x:v>No</x:v>
      </x:c>
      <x:c r="T29" s="2" t="str">
        <x:v>NA</x:v>
      </x:c>
      <x:c r="U29" s="6" t="str">
        <x:v>p. 2; Section 1</x:v>
      </x:c>
      <x:c r="V29" s="6" t="str">
        <x:v>one-to-many matching strategy—where each documentation segment is evaluated against all potential code artifacts simultaneously</x:v>
      </x:c>
      <x:c r="W29" s="6" t="str">
        <x:v>该策略避免了对每个文档-代码对进行单独查询，提高了效率，但需要LLM处理更长的上下文。</x:v>
      </x:c>
      <x:c r="X29" s="6" t="str">
        <x:v>NA</x:v>
      </x:c>
    </x:row>
    <x:row r="30" ht="76" customHeight="1">
      <x:c r="A30" s="2" t="str">
        <x:v>S05</x:v>
      </x:c>
      <x:c r="B30" s="2" t="str">
        <x:v>S05-CF07</x:v>
      </x:c>
      <x:c r="C30" s="2" t="str">
        <x:v>S05-MU03</x:v>
      </x:c>
      <x:c r="D30" s="2" t="str">
        <x:v>S05-O03</x:v>
      </x:c>
      <x:c r="E30" s="2" t="str">
        <x:v>Calling and orchestration</x:v>
      </x:c>
      <x:c r="F30" s="2" t="str">
        <x:v>API request caching</x:v>
      </x:c>
      <x:c r="G30" s="2" t="str">
        <x:v>caching</x:v>
      </x:c>
      <x:c r="H30" s="6" t="str">
        <x:v>利用API提供商的缓存机制减少重复请求的成本，Anthropic需显式启用。</x:v>
      </x:c>
      <x:c r="I30" s="2" t="str">
        <x:v>Yes</x:v>
      </x:c>
      <x:c r="J30" s="2"/>
      <x:c r="K30" s="6" t="str">
        <x:v>Invocation control</x:v>
      </x:c>
      <x:c r="L30" s="2" t="str">
        <x:v>API request caching</x:v>
      </x:c>
      <x:c r="M30" s="2" t="str">
        <x:v>Retrieved context</x:v>
      </x:c>
      <x:c r="N30" s="2" t="str">
        <x:v>NA</x:v>
      </x:c>
      <x:c r="O30" s="2" t="str">
        <x:v>NA</x:v>
      </x:c>
      <x:c r="P30" s="2" t="str">
        <x:v>NA</x:v>
      </x:c>
      <x:c r="Q30" s="2" t="str">
        <x:v>No</x:v>
      </x:c>
      <x:c r="R30" s="2" t="str">
        <x:v>No</x:v>
      </x:c>
      <x:c r="S30" s="2" t="str">
        <x:v>No</x:v>
      </x:c>
      <x:c r="T30" s="2" t="str">
        <x:v>NA</x:v>
      </x:c>
      <x:c r="U30" s="6" t="str">
        <x:v>p. 14; Section 3.4</x:v>
      </x:c>
      <x:c r="V30" s="6" t="str">
        <x:v>For efficiency, we leveraged built-in request caching: OpenAI enables caching by default for all API calls, while for Anthropic, it was explicitly enabled for our experiments.</x:v>
      </x:c>
      <x:c r="W30" s="6" t="str">
        <x:v>缓存是成本控制措施，不影响LLM的追溯能力，但影响实验效率。</x:v>
      </x:c>
      <x:c r="X30" s="6" t="str">
        <x:v>NA</x:v>
      </x:c>
    </x:row>
    <x:row r="31" ht="76" customHeight="1">
      <x:c r="A31" s="2" t="str">
        <x:v>S05</x:v>
      </x:c>
      <x:c r="B31" s="2" t="str">
        <x:v>S05-CF08</x:v>
      </x:c>
      <x:c r="C31" s="2" t="str">
        <x:v>S05-MU06</x:v>
      </x:c>
      <x:c r="D31" s="2" t="str">
        <x:v>S05-O03</x:v>
      </x:c>
      <x:c r="E31" s="2" t="str">
        <x:v>Calling and orchestration</x:v>
      </x:c>
      <x:c r="F31" s="2" t="str">
        <x:v>API request caching</x:v>
      </x:c>
      <x:c r="G31" s="2" t="str">
        <x:v>caching</x:v>
      </x:c>
      <x:c r="H31" s="6" t="str">
        <x:v>利用API提供商的缓存机制减少重复请求的成本，OpenAI默认开启。</x:v>
      </x:c>
      <x:c r="I31" s="2" t="str">
        <x:v>Yes</x:v>
      </x:c>
      <x:c r="J31" s="2"/>
      <x:c r="K31" s="6" t="str">
        <x:v>Invocation control</x:v>
      </x:c>
      <x:c r="L31" s="2" t="str">
        <x:v>API request caching</x:v>
      </x:c>
      <x:c r="M31" s="2" t="str">
        <x:v>Retrieved context</x:v>
      </x:c>
      <x:c r="N31" s="2" t="str">
        <x:v>NA</x:v>
      </x:c>
      <x:c r="O31" s="2" t="str">
        <x:v>NA</x:v>
      </x:c>
      <x:c r="P31" s="2" t="str">
        <x:v>NA</x:v>
      </x:c>
      <x:c r="Q31" s="2" t="str">
        <x:v>No</x:v>
      </x:c>
      <x:c r="R31" s="2" t="str">
        <x:v>No</x:v>
      </x:c>
      <x:c r="S31" s="2" t="str">
        <x:v>No</x:v>
      </x:c>
      <x:c r="T31" s="2" t="str">
        <x:v>NA</x:v>
      </x:c>
      <x:c r="U31" s="6" t="str">
        <x:v>p. 14; Section 3.4</x:v>
      </x:c>
      <x:c r="V31" s="6" t="str">
        <x:v>For efficiency, we leveraged built-in request caching: OpenAI enables caching by default for all API calls, while for Anthropic, it was explicitly enabled for our experiments.</x:v>
      </x:c>
      <x:c r="W31" s="6" t="str">
        <x:v>缓存是成本控制措施，不影响LLM的追溯能力，但影响实验效率。</x:v>
      </x:c>
      <x:c r="X31" s="6" t="str">
        <x:v>NA</x:v>
      </x:c>
    </x:row>
    <x:row r="32" ht="76" customHeight="1">
      <x:c r="A32" s="2" t="str">
        <x:v>S05</x:v>
      </x:c>
      <x:c r="B32" s="2" t="str">
        <x:v>S05-CF09</x:v>
      </x:c>
      <x:c r="C32" s="2" t="str">
        <x:v>S05-MU09</x:v>
      </x:c>
      <x:c r="D32" s="2" t="str">
        <x:v>S05-O03</x:v>
      </x:c>
      <x:c r="E32" s="2" t="str">
        <x:v>Calling and orchestration</x:v>
      </x:c>
      <x:c r="F32" s="2" t="str">
        <x:v>API request caching</x:v>
      </x:c>
      <x:c r="G32" s="2" t="str">
        <x:v>caching</x:v>
      </x:c>
      <x:c r="H32" s="6" t="str">
        <x:v>利用API提供商的缓存机制减少重复请求的成本，OpenAI默认开启。</x:v>
      </x:c>
      <x:c r="I32" s="2" t="str">
        <x:v>Yes</x:v>
      </x:c>
      <x:c r="J32" s="2"/>
      <x:c r="K32" s="6" t="str">
        <x:v>Invocation control</x:v>
      </x:c>
      <x:c r="L32" s="2" t="str">
        <x:v>API request caching</x:v>
      </x:c>
      <x:c r="M32" s="2" t="str">
        <x:v>Retrieved context</x:v>
      </x:c>
      <x:c r="N32" s="2" t="str">
        <x:v>NA</x:v>
      </x:c>
      <x:c r="O32" s="2" t="str">
        <x:v>NA</x:v>
      </x:c>
      <x:c r="P32" s="2" t="str">
        <x:v>NA</x:v>
      </x:c>
      <x:c r="Q32" s="2" t="str">
        <x:v>No</x:v>
      </x:c>
      <x:c r="R32" s="2" t="str">
        <x:v>No</x:v>
      </x:c>
      <x:c r="S32" s="2" t="str">
        <x:v>No</x:v>
      </x:c>
      <x:c r="T32" s="2" t="str">
        <x:v>NA</x:v>
      </x:c>
      <x:c r="U32" s="6" t="str">
        <x:v>p. 14; Section 3.4</x:v>
      </x:c>
      <x:c r="V32" s="6" t="str">
        <x:v>For efficiency, we leveraged built-in request caching: OpenAI enables caching by default for all API calls, while for Anthropic, it was explicitly enabled for our experiments.</x:v>
      </x:c>
      <x:c r="W32" s="6" t="str">
        <x:v>缓存是成本控制措施，不影响LLM的追溯能力，但影响实验效率。</x:v>
      </x:c>
      <x:c r="X32" s="6" t="str">
        <x:v>NA</x:v>
      </x:c>
    </x:row>
    <x:row r="33" ht="76" customHeight="1">
      <x:c r="A33" s="2" t="str">
        <x:v>S05</x:v>
      </x:c>
      <x:c r="B33" s="2" t="str">
        <x:v>S05-CF10</x:v>
      </x:c>
      <x:c r="C33" s="2" t="str">
        <x:v>S05-MU09</x:v>
      </x:c>
      <x:c r="D33" s="2" t="str">
        <x:v>S05-O03</x:v>
      </x:c>
      <x:c r="E33" s="2" t="str">
        <x:v>Output constraint</x:v>
      </x:c>
      <x:c r="F33" s="2" t="str">
        <x:v>reasoning_effort=high</x:v>
      </x:c>
      <x:c r="G33" s="2" t="str">
        <x:v>reasoning_effort_high</x:v>
      </x:c>
      <x:c r="H33" s="6" t="str">
        <x:v>将o3-mini的推理努力参数设置为高，以最大化推理性能。</x:v>
      </x:c>
      <x:c r="I33" s="2" t="str">
        <x:v>Yes</x:v>
      </x:c>
      <x:c r="J33" s="2"/>
      <x:c r="K33" s="6" t="str">
        <x:v>Invocation control</x:v>
      </x:c>
      <x:c r="L33" s="2" t="str">
        <x:v>Reasoning effort control</x:v>
      </x:c>
      <x:c r="M33" s="2" t="str">
        <x:v>Reasoning elicitation</x:v>
      </x:c>
      <x:c r="N33" s="2" t="str">
        <x:v>NA</x:v>
      </x:c>
      <x:c r="O33" s="2" t="str">
        <x:v>NA</x:v>
      </x:c>
      <x:c r="P33" s="2" t="str">
        <x:v>NA</x:v>
      </x:c>
      <x:c r="Q33" s="2" t="str">
        <x:v>No</x:v>
      </x:c>
      <x:c r="R33" s="2" t="str">
        <x:v>No</x:v>
      </x:c>
      <x:c r="S33" s="2" t="str">
        <x:v>No</x:v>
      </x:c>
      <x:c r="T33" s="2" t="str">
        <x:v>NA</x:v>
      </x:c>
      <x:c r="U33" s="6" t="str">
        <x:v>p. 14; Section 3.4</x:v>
      </x:c>
      <x:c r="V33" s="6" t="str">
        <x:v>the parameter reasoning_effort was explicitly set to high for o3-mini to maximize its reasoning performance</x:v>
      </x:c>
      <x:c r="W33" s="6" t="str">
        <x:v>该参数可能增加推理质量，但也可能增加延迟和成本。</x:v>
      </x:c>
      <x:c r="X33" s="6" t="str">
        <x:v>NA</x:v>
      </x:c>
    </x:row>
    <x:row r="34" ht="76" customHeight="1">
      <x:c r="A34" s="2" t="str">
        <x:v>S06</x:v>
      </x:c>
      <x:c r="B34" s="2" t="str">
        <x:v>S06-CF01</x:v>
      </x:c>
      <x:c r="C34" s="2" t="str">
        <x:v>S06-MU01</x:v>
      </x:c>
      <x:c r="D34" s="2" t="str">
        <x:v>S06-O01</x:v>
      </x:c>
      <x:c r="E34" s="2" t="str">
        <x:v>Prompting</x:v>
      </x:c>
      <x:c r="F34" s="2" t="str">
        <x:v>Initial Agent Prompt with Heuristics</x:v>
      </x:c>
      <x:c r="G34" s="2" t="str">
        <x:v>prompt-heuristics</x:v>
      </x:c>
      <x:c r="H34" s="6" t="str">
        <x:v>初始提示包含问题解释、通用规则以及跨函数调用组合数据的启发式建议，如从问题参与者中选择提交作者。</x:v>
      </x:c>
      <x:c r="I34" s="2" t="str">
        <x:v>Yes</x:v>
      </x:c>
      <x:c r="J34" s="2"/>
      <x:c r="K34" s="6" t="str">
        <x:v>Prompt design</x:v>
      </x:c>
      <x:c r="L34" s="2" t="str">
        <x:v>Task-specific prompting</x:v>
      </x:c>
      <x:c r="M34" s="2"/>
      <x:c r="N34" s="2" t="str">
        <x:v>Yes</x:v>
      </x:c>
      <x:c r="O34" s="2" t="str">
        <x:v>Partial description</x:v>
      </x:c>
      <x:c r="P34" s="2" t="str">
        <x:v>NA</x:v>
      </x:c>
      <x:c r="Q34" s="2" t="str">
        <x:v>No</x:v>
      </x:c>
      <x:c r="R34" s="2" t="str">
        <x:v>No</x:v>
      </x:c>
      <x:c r="S34" s="2" t="str">
        <x:v>No</x:v>
      </x:c>
      <x:c r="T34" s="2" t="str">
        <x:v>NR</x:v>
      </x:c>
      <x:c r="U34" s="6" t="str">
        <x:v>p. 6; Section IV-C Prompting</x:v>
      </x:c>
      <x:c r="V34" s="6" t="str">
        <x:v>we also explain key heuristics for combining data across function calls.</x:v>
      </x:c>
      <x:c r="W34" s="6" t="str">
        <x:v>提示工程为LLM提供了问题框架和启发式策略，增强其推理效率，但未公开完整提示。</x:v>
      </x:c>
      <x:c r="X34" s="6" t="str">
        <x:v>完整提示见复制包，但论文中仅部分描述。</x:v>
      </x:c>
    </x:row>
    <x:row r="35" ht="76" customHeight="1">
      <x:c r="A35" s="2" t="str">
        <x:v>S06</x:v>
      </x:c>
      <x:c r="B35" s="2" t="str">
        <x:v>S06-CF02</x:v>
      </x:c>
      <x:c r="C35" s="2" t="str">
        <x:v>S06-MU01</x:v>
      </x:c>
      <x:c r="D35" s="2" t="str">
        <x:v>S06-O01</x:v>
      </x:c>
      <x:c r="E35" s="2" t="str">
        <x:v>Output constraint</x:v>
      </x:c>
      <x:c r="F35" s="2" t="str">
        <x:v>Feedback mechanism (Discard/Preserve)</x:v>
      </x:c>
      <x:c r="G35" s="2" t="str">
        <x:v>feedback-discard</x:v>
      </x:c>
      <x:c r="H35" s="6" t="str">
        <x:v>当函数调用返回超过40kB数据时，系统请求反馈，LLM可选择丢弃不相关输出以节省token窗口。</x:v>
      </x:c>
      <x:c r="I35" s="2" t="str">
        <x:v>Yes</x:v>
      </x:c>
      <x:c r="J35" s="2"/>
      <x:c r="K35" s="6" t="str">
        <x:v>Input and context construction</x:v>
      </x:c>
      <x:c r="L35" s="2" t="str">
        <x:v>Context budget management</x:v>
      </x:c>
      <x:c r="M35" s="2"/>
      <x:c r="N35" s="2" t="str">
        <x:v>NA</x:v>
      </x:c>
      <x:c r="O35" s="2" t="str">
        <x:v>NA</x:v>
      </x:c>
      <x:c r="P35" s="2" t="str">
        <x:v>NA</x:v>
      </x:c>
      <x:c r="Q35" s="2" t="str">
        <x:v>No</x:v>
      </x:c>
      <x:c r="R35" s="2" t="str">
        <x:v>No</x:v>
      </x:c>
      <x:c r="S35" s="2" t="str">
        <x:v>No</x:v>
      </x:c>
      <x:c r="T35" s="2" t="str">
        <x:v>NR</x:v>
      </x:c>
      <x:c r="U35" s="6" t="str">
        <x:v>p. 5; Section IV-B Control Functions</x:v>
      </x:c>
      <x:c r="V35" s="6" t="str">
        <x:v>Whenever a function call returns more than a predefined number of bytes of data, a request for Feedback is issued</x:v>
      </x:c>
      <x:c r="W35" s="6" t="str">
        <x:v>通过主动丢弃无关输出，有效控制上下文长度，防止token超限，提升长对话下的稳定性。</x:v>
      </x:c>
      <x:c r="X35" s="6" t="str">
        <x:v>NA</x:v>
      </x:c>
    </x:row>
    <x:row r="36" ht="76" customHeight="1">
      <x:c r="A36" s="2" t="str">
        <x:v>S06</x:v>
      </x:c>
      <x:c r="B36" s="2" t="str">
        <x:v>S06-CF03</x:v>
      </x:c>
      <x:c r="C36" s="2" t="str">
        <x:v>S06-MU01</x:v>
      </x:c>
      <x:c r="D36" s="2" t="str">
        <x:v>S06-O01</x:v>
      </x:c>
      <x:c r="E36" s="2" t="str">
        <x:v>Calling and orchestration</x:v>
      </x:c>
      <x:c r="F36" s="2" t="str">
        <x:v>Agent limits (max iterations, token budget)</x:v>
      </x:c>
      <x:c r="G36" s="2" t="str">
        <x:v>agent-limits</x:v>
      </x:c>
      <x:c r="H36" s="6" t="str">
        <x:v>系统限制LLM最多20次函数调用迭代和每issue 200k tokens的总用量，确保终止并控制成本。</x:v>
      </x:c>
      <x:c r="I36" s="2" t="str">
        <x:v>Yes</x:v>
      </x:c>
      <x:c r="J36" s="2"/>
      <x:c r="K36" s="6" t="str">
        <x:v>Invocation control</x:v>
      </x:c>
      <x:c r="L36" s="2" t="str">
        <x:v>Call and token limits</x:v>
      </x:c>
      <x:c r="M36" s="2"/>
      <x:c r="N36" s="2" t="str">
        <x:v>NA</x:v>
      </x:c>
      <x:c r="O36" s="2" t="str">
        <x:v>NA</x:v>
      </x:c>
      <x:c r="P36" s="2" t="str">
        <x:v>NA</x:v>
      </x:c>
      <x:c r="Q36" s="2" t="str">
        <x:v>No</x:v>
      </x:c>
      <x:c r="R36" s="2" t="str">
        <x:v>No</x:v>
      </x:c>
      <x:c r="S36" s="2" t="str">
        <x:v>No</x:v>
      </x:c>
      <x:c r="T36" s="2" t="str">
        <x:v>迭代次数和token预算限制由中间件强制执行，并在初始提示中告知LLM。</x:v>
      </x:c>
      <x:c r="U36" s="6" t="str">
        <x:v>p. 7; Section V-A3 Model Configuration</x:v>
      </x:c>
      <x:c r="V36" s="6" t="str">
        <x:v>We limited our agent to a maximum of 20 iterations when communicating with the LLM and restricted it to a total of 200k tokens per issue.</x:v>
      </x:c>
      <x:c r="W36" s="6" t="str">
        <x:v>硬性限制保障了可行性和可重现性，是代理编排的关键约束。</x:v>
      </x:c>
      <x:c r="X36" s="6" t="str">
        <x:v>NA</x:v>
      </x:c>
    </x:row>
    <x:row r="37" ht="76" customHeight="1">
      <x:c r="A37" s="2" t="str">
        <x:v>S07</x:v>
      </x:c>
      <x:c r="B37" s="2" t="str">
        <x:v>S07-CF01</x:v>
      </x:c>
      <x:c r="C37" s="2" t="str">
        <x:v>S07-MU01</x:v>
      </x:c>
      <x:c r="D37" s="2" t="str">
        <x:v>S07-O01</x:v>
      </x:c>
      <x:c r="E37" s="2" t="str">
        <x:v>Prompting</x:v>
      </x:c>
      <x:c r="F37" s="2" t="str">
        <x:v>BASE</x:v>
      </x:c>
      <x:c r="G37" s="2" t="str">
        <x:v>BASE</x:v>
      </x:c>
      <x:c r="H37" s="6" t="str">
        <x:v>默认提示模板：系统默认角色，用户指令包含任务、上下文、规则和 JSON 对象输出格式。</x:v>
      </x:c>
      <x:c r="I37" s="2" t="str">
        <x:v>Yes</x:v>
      </x:c>
      <x:c r="J37" s="2"/>
      <x:c r="K37" s="6" t="str">
        <x:v>Prompt design</x:v>
      </x:c>
      <x:c r="L37" s="2" t="str">
        <x:v>Structured/template prompting</x:v>
      </x:c>
      <x:c r="M37" s="2" t="str">
        <x:v>Structured/template prompting</x:v>
      </x:c>
      <x:c r="N37" s="2" t="str">
        <x:v>Yes</x:v>
      </x:c>
      <x:c r="O37" s="2" t="str">
        <x:v>Partial description</x:v>
      </x:c>
      <x:c r="P37" s="2" t="str">
        <x:v>NR</x:v>
      </x:c>
      <x:c r="Q37" s="2" t="str">
        <x:v>No</x:v>
      </x:c>
      <x:c r="R37" s="2" t="str">
        <x:v>No</x:v>
      </x:c>
      <x:c r="S37" s="2" t="str">
        <x:v>No</x:v>
      </x:c>
      <x:c r="T37" s="2" t="str">
        <x:v>Iterates over each requirement, sending one request per requirement to the LLM.</x:v>
      </x:c>
      <x:c r="U37" s="6" t="str">
        <x:v>p. 5; Table 3</x:v>
      </x:c>
      <x:c r="V37" s="6" t="str">
        <x:v>BASE DO: System: Default Role. User: Instruction and Objectives, Context information, Rules and Guidelines, and Output format (JSON Object)</x:v>
      </x:c>
      <x:c r="W37" s="6" t="str">
        <x:v>GPT-3.5 使用 BASE 提示模板进行实验。</x:v>
      </x:c>
      <x:c r="X37" s="6" t="str">
        <x:v>NA</x:v>
      </x:c>
    </x:row>
    <x:row r="38" ht="76" customHeight="1">
      <x:c r="A38" s="2" t="str">
        <x:v>S07</x:v>
      </x:c>
      <x:c r="B38" s="2" t="str">
        <x:v>S07-CF02</x:v>
      </x:c>
      <x:c r="C38" s="2" t="str">
        <x:v>S07-MU01</x:v>
      </x:c>
      <x:c r="D38" s="2" t="str">
        <x:v>S07-O01</x:v>
      </x:c>
      <x:c r="E38" s="2" t="str">
        <x:v>Prompting</x:v>
      </x:c>
      <x:c r="F38" s="2" t="str">
        <x:v>PT1</x:v>
      </x:c>
      <x:c r="G38" s="2" t="str">
        <x:v>PT1</x:v>
      </x:c>
      <x:c r="H38" s="6" t="str">
        <x:v>输出格式改为 JSON 数组。</x:v>
      </x:c>
      <x:c r="I38" s="2" t="str">
        <x:v>Yes</x:v>
      </x:c>
      <x:c r="J38" s="2"/>
      <x:c r="K38" s="6" t="str">
        <x:v>Prompt design</x:v>
      </x:c>
      <x:c r="L38" s="2" t="str">
        <x:v>Structured/template prompting</x:v>
      </x:c>
      <x:c r="M38" s="2" t="str">
        <x:v>Structured/template prompting</x:v>
      </x:c>
      <x:c r="N38" s="2" t="str">
        <x:v>Yes</x:v>
      </x:c>
      <x:c r="O38" s="2" t="str">
        <x:v>Partial description</x:v>
      </x:c>
      <x:c r="P38" s="2" t="str">
        <x:v>NR</x:v>
      </x:c>
      <x:c r="Q38" s="2" t="str">
        <x:v>No</x:v>
      </x:c>
      <x:c r="R38" s="2" t="str">
        <x:v>No</x:v>
      </x:c>
      <x:c r="S38" s="2" t="str">
        <x:v>No</x:v>
      </x:c>
      <x:c r="T38" s="2" t="str">
        <x:v>Iterates over each requirement, sending one request per requirement to the LLM.</x:v>
      </x:c>
      <x:c r="U38" s="6" t="str">
        <x:v>p. 5; Table 3</x:v>
      </x:c>
      <x:c r="V38" s="6" t="str">
        <x:v>PT1 NO: System: The output format is changed to a JSON</x:v>
      </x:c>
      <x:c r="W38" s="6" t="str">
        <x:v>GPT-3.5 使用 PT1 提示模板进行实验。</x:v>
      </x:c>
      <x:c r="X38" s="6" t="str">
        <x:v>NA</x:v>
      </x:c>
    </x:row>
    <x:row r="39" ht="76" customHeight="1">
      <x:c r="A39" s="2" t="str">
        <x:v>S07</x:v>
      </x:c>
      <x:c r="B39" s="2" t="str">
        <x:v>S07-CF03</x:v>
      </x:c>
      <x:c r="C39" s="2" t="str">
        <x:v>S07-MU01</x:v>
      </x:c>
      <x:c r="D39" s="2" t="str">
        <x:v>S07-O01</x:v>
      </x:c>
      <x:c r="E39" s="2" t="str">
        <x:v>Prompting</x:v>
      </x:c>
      <x:c r="F39" s="2" t="str">
        <x:v>PT2</x:v>
      </x:c>
      <x:c r="G39" s="2" t="str">
        <x:v>PT2</x:v>
      </x:c>
      <x:c r="H39" s="6" t="str">
        <x:v>更改系统提示角色为任务特定角色，并采用 JSON 数组输出。</x:v>
      </x:c>
      <x:c r="I39" s="2" t="str">
        <x:v>Yes</x:v>
      </x:c>
      <x:c r="J39" s="2"/>
      <x:c r="K39" s="6" t="str">
        <x:v>Prompt design</x:v>
      </x:c>
      <x:c r="L39" s="2" t="str">
        <x:v>Role/system/persona prompting</x:v>
      </x:c>
      <x:c r="M39" s="2" t="str">
        <x:v>Role/system/persona prompting; Structured/template prompting</x:v>
      </x:c>
      <x:c r="N39" s="2" t="str">
        <x:v>Yes</x:v>
      </x:c>
      <x:c r="O39" s="2" t="str">
        <x:v>Partial description</x:v>
      </x:c>
      <x:c r="P39" s="2" t="str">
        <x:v>NR</x:v>
      </x:c>
      <x:c r="Q39" s="2" t="str">
        <x:v>No</x:v>
      </x:c>
      <x:c r="R39" s="2" t="str">
        <x:v>No</x:v>
      </x:c>
      <x:c r="S39" s="2" t="str">
        <x:v>No</x:v>
      </x:c>
      <x:c r="T39" s="2" t="str">
        <x:v>Iterates over each requirement, sending one request per requirement to the LLM.</x:v>
      </x:c>
      <x:c r="U39" s="6" t="str">
        <x:v>p. 5; Table 3</x:v>
      </x:c>
      <x:c r="V39" s="6" t="str">
        <x:v>PT2 NO + RS: Changed from default system prompt role to a task-specific role</x:v>
      </x:c>
      <x:c r="W39" s="6" t="str">
        <x:v>GPT-3.5 使用 PT2 提示模板进行实验。</x:v>
      </x:c>
      <x:c r="X39" s="6" t="str">
        <x:v>NA</x:v>
      </x:c>
    </x:row>
    <x:row r="40" ht="76" customHeight="1">
      <x:c r="A40" s="2" t="str">
        <x:v>S07</x:v>
      </x:c>
      <x:c r="B40" s="2" t="str">
        <x:v>S07-CF04</x:v>
      </x:c>
      <x:c r="C40" s="2" t="str">
        <x:v>S07-MU01</x:v>
      </x:c>
      <x:c r="D40" s="2" t="str">
        <x:v>S07-O01</x:v>
      </x:c>
      <x:c r="E40" s="2" t="str">
        <x:v>Prompting</x:v>
      </x:c>
      <x:c r="F40" s="2" t="str">
        <x:v>PT3</x:v>
      </x:c>
      <x:c r="G40" s="2" t="str">
        <x:v>PT3</x:v>
      </x:c>
      <x:c r="H40" s="6" t="str">
        <x:v>默认 JSON 对象输出，同时采用任务特定角色。</x:v>
      </x:c>
      <x:c r="I40" s="2" t="str">
        <x:v>Yes</x:v>
      </x:c>
      <x:c r="J40" s="2"/>
      <x:c r="K40" s="6" t="str">
        <x:v>Prompt design</x:v>
      </x:c>
      <x:c r="L40" s="2" t="str">
        <x:v>Structured/template prompting</x:v>
      </x:c>
      <x:c r="M40" s="2" t="str">
        <x:v>Structured/template prompting</x:v>
      </x:c>
      <x:c r="N40" s="2" t="str">
        <x:v>Yes</x:v>
      </x:c>
      <x:c r="O40" s="2" t="str">
        <x:v>Partial description</x:v>
      </x:c>
      <x:c r="P40" s="2" t="str">
        <x:v>NR</x:v>
      </x:c>
      <x:c r="Q40" s="2" t="str">
        <x:v>No</x:v>
      </x:c>
      <x:c r="R40" s="2" t="str">
        <x:v>No</x:v>
      </x:c>
      <x:c r="S40" s="2" t="str">
        <x:v>No</x:v>
      </x:c>
      <x:c r="T40" s="2" t="str">
        <x:v>Iterates over each requirement, sending one request per requirement to the LLM.</x:v>
      </x:c>
      <x:c r="U40" s="6" t="str">
        <x:v>p. 5; Table 3</x:v>
      </x:c>
      <x:c r="V40" s="6" t="str">
        <x:v>PT3 DO + RS</x:v>
      </x:c>
      <x:c r="W40" s="6" t="str">
        <x:v>GPT-3.5 使用 PT3 提示模板进行实验。</x:v>
      </x:c>
      <x:c r="X40" s="6" t="str">
        <x:v>NA</x:v>
      </x:c>
    </x:row>
    <x:row r="41" ht="76" customHeight="1">
      <x:c r="A41" s="2" t="str">
        <x:v>S07</x:v>
      </x:c>
      <x:c r="B41" s="2" t="str">
        <x:v>S07-CF05</x:v>
      </x:c>
      <x:c r="C41" s="2" t="str">
        <x:v>S07-MU01</x:v>
      </x:c>
      <x:c r="D41" s="2" t="str">
        <x:v>S07-O01</x:v>
      </x:c>
      <x:c r="E41" s="2" t="str">
        <x:v>Prompting</x:v>
      </x:c>
      <x:c r="F41" s="2" t="str">
        <x:v>PT4</x:v>
      </x:c>
      <x:c r="G41" s="2" t="str">
        <x:v>PT4</x:v>
      </x:c>
      <x:c r="H41" s="6" t="str">
        <x:v>系统提示包含语气指导作为角色、指令、上下文信息、规则和输出格式；用户提示包含任务描述、上下文和数据。采用 JSON 数组输出。</x:v>
      </x:c>
      <x:c r="I41" s="2" t="str">
        <x:v>Yes</x:v>
      </x:c>
      <x:c r="J41" s="2"/>
      <x:c r="K41" s="6" t="str">
        <x:v>Prompt design</x:v>
      </x:c>
      <x:c r="L41" s="2" t="str">
        <x:v>Role/system/persona prompting</x:v>
      </x:c>
      <x:c r="M41" s="2" t="str">
        <x:v>Role/system/persona prompting; Structured/template prompting</x:v>
      </x:c>
      <x:c r="N41" s="2" t="str">
        <x:v>Yes</x:v>
      </x:c>
      <x:c r="O41" s="2" t="str">
        <x:v>Full prompt reported</x:v>
      </x:c>
      <x:c r="P41" s="2" t="str">
        <x:v>NR</x:v>
      </x:c>
      <x:c r="Q41" s="2" t="str">
        <x:v>No</x:v>
      </x:c>
      <x:c r="R41" s="2" t="str">
        <x:v>No</x:v>
      </x:c>
      <x:c r="S41" s="2" t="str">
        <x:v>No</x:v>
      </x:c>
      <x:c r="T41" s="2" t="str">
        <x:v>Iterates over each requirement, sending one request per requirement to the LLM.</x:v>
      </x:c>
      <x:c r="U41" s="6" t="str">
        <x:v>p. 5; Table 3</x:v>
      </x:c>
      <x:c r="V41" s="6" t="str">
        <x:v>RS + NO + ReOP: System: Tone guidelines as role, Instructions, Context information, Rules and Guidelines,</x:v>
      </x:c>
      <x:c r="W41" s="6" t="str">
        <x:v>GPT-3.5 使用 PT4 提示模板进行实验，该模板的完整系统提示与用户提示见论文 5 页。</x:v>
      </x:c>
      <x:c r="X41" s="6" t="str">
        <x:v>Full prompt example on p.5, Section 4.3.</x:v>
      </x:c>
    </x:row>
    <x:row r="42" ht="76" customHeight="1">
      <x:c r="A42" s="2" t="str">
        <x:v>S07</x:v>
      </x:c>
      <x:c r="B42" s="2" t="str">
        <x:v>S07-CF06</x:v>
      </x:c>
      <x:c r="C42" s="2" t="str">
        <x:v>S07-MU01</x:v>
      </x:c>
      <x:c r="D42" s="2" t="str">
        <x:v>S07-O01</x:v>
      </x:c>
      <x:c r="E42" s="2" t="str">
        <x:v>Prompting</x:v>
      </x:c>
      <x:c r="F42" s="2" t="str">
        <x:v>PT5</x:v>
      </x:c>
      <x:c r="G42" s="2" t="str">
        <x:v>PT5</x:v>
      </x:c>
      <x:c r="H42" s="6" t="str">
        <x:v>与 PT4 类似，但采用默认 JSON 对象输出。</x:v>
      </x:c>
      <x:c r="I42" s="2" t="str">
        <x:v>Yes</x:v>
      </x:c>
      <x:c r="J42" s="2"/>
      <x:c r="K42" s="6" t="str">
        <x:v>Prompt design</x:v>
      </x:c>
      <x:c r="L42" s="2" t="str">
        <x:v>Structured/template prompting</x:v>
      </x:c>
      <x:c r="M42" s="2" t="str">
        <x:v>Structured/template prompting</x:v>
      </x:c>
      <x:c r="N42" s="2" t="str">
        <x:v>Yes</x:v>
      </x:c>
      <x:c r="O42" s="2" t="str">
        <x:v>Partial description</x:v>
      </x:c>
      <x:c r="P42" s="2" t="str">
        <x:v>NR</x:v>
      </x:c>
      <x:c r="Q42" s="2" t="str">
        <x:v>No</x:v>
      </x:c>
      <x:c r="R42" s="2" t="str">
        <x:v>No</x:v>
      </x:c>
      <x:c r="S42" s="2" t="str">
        <x:v>No</x:v>
      </x:c>
      <x:c r="T42" s="2" t="str">
        <x:v>Iterates over each requirement, sending one request per requirement to the LLM.</x:v>
      </x:c>
      <x:c r="U42" s="6" t="str">
        <x:v>p. 5; Table 3</x:v>
      </x:c>
      <x:c r="V42" s="6" t="str">
        <x:v>PT5 RS + DO + ReOP</x:v>
      </x:c>
      <x:c r="W42" s="6" t="str">
        <x:v>GPT-3.5 使用 PT5 提示模板进行实验。</x:v>
      </x:c>
      <x:c r="X42" s="6" t="str">
        <x:v>NA</x:v>
      </x:c>
    </x:row>
    <x:row r="43" ht="76" customHeight="1">
      <x:c r="A43" s="2" t="str">
        <x:v>S07</x:v>
      </x:c>
      <x:c r="B43" s="2" t="str">
        <x:v>S07-CF07</x:v>
      </x:c>
      <x:c r="C43" s="2" t="str">
        <x:v>S07-MU01</x:v>
      </x:c>
      <x:c r="D43" s="2" t="str">
        <x:v>S07-O01</x:v>
      </x:c>
      <x:c r="E43" s="2" t="str">
        <x:v>Prompting</x:v>
      </x:c>
      <x:c r="F43" s="2" t="str">
        <x:v>PT6</x:v>
      </x:c>
      <x:c r="G43" s="2" t="str">
        <x:v>PT6</x:v>
      </x:c>
      <x:c r="H43" s="6" t="str">
        <x:v>采用严格的分节结构，包含语气指导作为角色、指令与目标、任务上下文、规则和输出格式；用户提示仅包含任务数据。JSON 数组输出。</x:v>
      </x:c>
      <x:c r="I43" s="2" t="str">
        <x:v>Yes</x:v>
      </x:c>
      <x:c r="J43" s="2"/>
      <x:c r="K43" s="6" t="str">
        <x:v>Prompt design</x:v>
      </x:c>
      <x:c r="L43" s="2" t="str">
        <x:v>Role/system/persona prompting</x:v>
      </x:c>
      <x:c r="M43" s="2" t="str">
        <x:v>Role/system/persona prompting; Structured/template prompting</x:v>
      </x:c>
      <x:c r="N43" s="2" t="str">
        <x:v>Yes</x:v>
      </x:c>
      <x:c r="O43" s="2" t="str">
        <x:v>Partial description</x:v>
      </x:c>
      <x:c r="P43" s="2" t="str">
        <x:v>NR</x:v>
      </x:c>
      <x:c r="Q43" s="2" t="str">
        <x:v>No</x:v>
      </x:c>
      <x:c r="R43" s="2" t="str">
        <x:v>No</x:v>
      </x:c>
      <x:c r="S43" s="2" t="str">
        <x:v>No</x:v>
      </x:c>
      <x:c r="T43" s="2" t="str">
        <x:v>Iterates over each requirement, sending one request per requirement to the LLM.</x:v>
      </x:c>
      <x:c r="U43" s="6" t="str">
        <x:v>p. 5; Table 3</x:v>
      </x:c>
      <x:c r="V43" s="6" t="str">
        <x:v>PT6 RS + NO + PP: Strict structure using section division of each component. Tone guidelines as role, Instruction and Objectives, Task context, Rules, and Output format. User: Task data</x:v>
      </x:c>
      <x:c r="W43" s="6" t="str">
        <x:v>GPT-3.5 使用 PT6 提示模板进行实验。</x:v>
      </x:c>
      <x:c r="X43" s="6" t="str">
        <x:v>NA</x:v>
      </x:c>
    </x:row>
    <x:row r="44" ht="76" customHeight="1">
      <x:c r="A44" s="2" t="str">
        <x:v>S07</x:v>
      </x:c>
      <x:c r="B44" s="2" t="str">
        <x:v>S07-CF08</x:v>
      </x:c>
      <x:c r="C44" s="2" t="str">
        <x:v>S07-MU01</x:v>
      </x:c>
      <x:c r="D44" s="2" t="str">
        <x:v>S07-O01</x:v>
      </x:c>
      <x:c r="E44" s="2" t="str">
        <x:v>Prompting</x:v>
      </x:c>
      <x:c r="F44" s="2" t="str">
        <x:v>PT7</x:v>
      </x:c>
      <x:c r="G44" s="2" t="str">
        <x:v>PT7</x:v>
      </x:c>
      <x:c r="H44" s="6" t="str">
        <x:v>类似 PT6，但采用默认 JSON 对象输出。</x:v>
      </x:c>
      <x:c r="I44" s="2" t="str">
        <x:v>Yes</x:v>
      </x:c>
      <x:c r="J44" s="2"/>
      <x:c r="K44" s="6" t="str">
        <x:v>Prompt design</x:v>
      </x:c>
      <x:c r="L44" s="2" t="str">
        <x:v>Structured/template prompting</x:v>
      </x:c>
      <x:c r="M44" s="2" t="str">
        <x:v>Structured/template prompting</x:v>
      </x:c>
      <x:c r="N44" s="2" t="str">
        <x:v>Yes</x:v>
      </x:c>
      <x:c r="O44" s="2" t="str">
        <x:v>Partial description</x:v>
      </x:c>
      <x:c r="P44" s="2" t="str">
        <x:v>NR</x:v>
      </x:c>
      <x:c r="Q44" s="2" t="str">
        <x:v>No</x:v>
      </x:c>
      <x:c r="R44" s="2" t="str">
        <x:v>No</x:v>
      </x:c>
      <x:c r="S44" s="2" t="str">
        <x:v>No</x:v>
      </x:c>
      <x:c r="T44" s="2" t="str">
        <x:v>Iterates over each requirement, sending one request per requirement to the LLM.</x:v>
      </x:c>
      <x:c r="U44" s="6" t="str">
        <x:v>p. 5; Table 3</x:v>
      </x:c>
      <x:c r="V44" s="6" t="str">
        <x:v>PT7 RS + DO + PP</x:v>
      </x:c>
      <x:c r="W44" s="6" t="str">
        <x:v>GPT-3.5 使用 PT7 提示模板进行实验。</x:v>
      </x:c>
      <x:c r="X44" s="6" t="str">
        <x:v>NA</x:v>
      </x:c>
    </x:row>
    <x:row r="45" ht="76" customHeight="1">
      <x:c r="A45" s="2" t="str">
        <x:v>S07</x:v>
      </x:c>
      <x:c r="B45" s="2" t="str">
        <x:v>S07-CF09</x:v>
      </x:c>
      <x:c r="C45" s="2" t="str">
        <x:v>S07-MU02</x:v>
      </x:c>
      <x:c r="D45" s="2" t="str">
        <x:v>S07-O01</x:v>
      </x:c>
      <x:c r="E45" s="2" t="str">
        <x:v>Prompting</x:v>
      </x:c>
      <x:c r="F45" s="2" t="str">
        <x:v>BASE</x:v>
      </x:c>
      <x:c r="G45" s="2" t="str">
        <x:v>BASE</x:v>
      </x:c>
      <x:c r="H45" s="6" t="str">
        <x:v>默认提示模板：系统默认角色，用户指令包含任务、上下文、规则和 JSON 对象输出格式。</x:v>
      </x:c>
      <x:c r="I45" s="2" t="str">
        <x:v>Yes</x:v>
      </x:c>
      <x:c r="J45" s="2"/>
      <x:c r="K45" s="6" t="str">
        <x:v>Prompt design</x:v>
      </x:c>
      <x:c r="L45" s="2" t="str">
        <x:v>Structured/template prompting</x:v>
      </x:c>
      <x:c r="M45" s="2" t="str">
        <x:v>Structured/template prompting</x:v>
      </x:c>
      <x:c r="N45" s="2" t="str">
        <x:v>Yes</x:v>
      </x:c>
      <x:c r="O45" s="2" t="str">
        <x:v>Partial description</x:v>
      </x:c>
      <x:c r="P45" s="2" t="str">
        <x:v>NR</x:v>
      </x:c>
      <x:c r="Q45" s="2" t="str">
        <x:v>No</x:v>
      </x:c>
      <x:c r="R45" s="2" t="str">
        <x:v>No</x:v>
      </x:c>
      <x:c r="S45" s="2" t="str">
        <x:v>No</x:v>
      </x:c>
      <x:c r="T45" s="2" t="str">
        <x:v>Iterates over each requirement, sending one request per requirement to the LLM.</x:v>
      </x:c>
      <x:c r="U45" s="6" t="str">
        <x:v>p. 5; Table 3</x:v>
      </x:c>
      <x:c r="V45" s="6" t="str">
        <x:v>BASE DO: System: Default Role. User: Instruction and Objectives, Context information, Rules and Guidelines, and Output format (JSON Object)</x:v>
      </x:c>
      <x:c r="W45" s="6" t="str">
        <x:v>GPT-4 使用 BASE 提示模板进行实验。</x:v>
      </x:c>
      <x:c r="X45" s="6" t="str">
        <x:v>NA</x:v>
      </x:c>
    </x:row>
    <x:row r="46" ht="76" customHeight="1">
      <x:c r="A46" s="2" t="str">
        <x:v>S07</x:v>
      </x:c>
      <x:c r="B46" s="2" t="str">
        <x:v>S07-CF10</x:v>
      </x:c>
      <x:c r="C46" s="2" t="str">
        <x:v>S07-MU02</x:v>
      </x:c>
      <x:c r="D46" s="2" t="str">
        <x:v>S07-O01</x:v>
      </x:c>
      <x:c r="E46" s="2" t="str">
        <x:v>Prompting</x:v>
      </x:c>
      <x:c r="F46" s="2" t="str">
        <x:v>PT1</x:v>
      </x:c>
      <x:c r="G46" s="2" t="str">
        <x:v>PT1</x:v>
      </x:c>
      <x:c r="H46" s="6" t="str">
        <x:v>输出格式改为 JSON 数组。</x:v>
      </x:c>
      <x:c r="I46" s="2" t="str">
        <x:v>Yes</x:v>
      </x:c>
      <x:c r="J46" s="2"/>
      <x:c r="K46" s="6" t="str">
        <x:v>Prompt design</x:v>
      </x:c>
      <x:c r="L46" s="2" t="str">
        <x:v>Structured/template prompting</x:v>
      </x:c>
      <x:c r="M46" s="2" t="str">
        <x:v>Structured/template prompting</x:v>
      </x:c>
      <x:c r="N46" s="2" t="str">
        <x:v>Yes</x:v>
      </x:c>
      <x:c r="O46" s="2" t="str">
        <x:v>Partial description</x:v>
      </x:c>
      <x:c r="P46" s="2" t="str">
        <x:v>NR</x:v>
      </x:c>
      <x:c r="Q46" s="2" t="str">
        <x:v>No</x:v>
      </x:c>
      <x:c r="R46" s="2" t="str">
        <x:v>No</x:v>
      </x:c>
      <x:c r="S46" s="2" t="str">
        <x:v>No</x:v>
      </x:c>
      <x:c r="T46" s="2" t="str">
        <x:v>Iterates over each requirement, sending one request per requirement to the LLM.</x:v>
      </x:c>
      <x:c r="U46" s="6" t="str">
        <x:v>p. 5; Table 3</x:v>
      </x:c>
      <x:c r="V46" s="6" t="str">
        <x:v>PT1 NO: System: The output format is changed to a JSON</x:v>
      </x:c>
      <x:c r="W46" s="6" t="str">
        <x:v>GPT-4 使用 PT1 提示模板进行实验。</x:v>
      </x:c>
      <x:c r="X46" s="6" t="str">
        <x:v>NA</x:v>
      </x:c>
    </x:row>
    <x:row r="47" ht="76" customHeight="1">
      <x:c r="A47" s="2" t="str">
        <x:v>S07</x:v>
      </x:c>
      <x:c r="B47" s="2" t="str">
        <x:v>S07-CF11</x:v>
      </x:c>
      <x:c r="C47" s="2" t="str">
        <x:v>S07-MU02</x:v>
      </x:c>
      <x:c r="D47" s="2" t="str">
        <x:v>S07-O01</x:v>
      </x:c>
      <x:c r="E47" s="2" t="str">
        <x:v>Prompting</x:v>
      </x:c>
      <x:c r="F47" s="2" t="str">
        <x:v>PT2</x:v>
      </x:c>
      <x:c r="G47" s="2" t="str">
        <x:v>PT2</x:v>
      </x:c>
      <x:c r="H47" s="6" t="str">
        <x:v>更改系统提示角色为任务特定角色，并采用 JSON 数组输出。</x:v>
      </x:c>
      <x:c r="I47" s="2" t="str">
        <x:v>Yes</x:v>
      </x:c>
      <x:c r="J47" s="2"/>
      <x:c r="K47" s="6" t="str">
        <x:v>Prompt design</x:v>
      </x:c>
      <x:c r="L47" s="2" t="str">
        <x:v>Role/system/persona prompting</x:v>
      </x:c>
      <x:c r="M47" s="2" t="str">
        <x:v>Role/system/persona prompting; Structured/template prompting</x:v>
      </x:c>
      <x:c r="N47" s="2" t="str">
        <x:v>Yes</x:v>
      </x:c>
      <x:c r="O47" s="2" t="str">
        <x:v>Partial description</x:v>
      </x:c>
      <x:c r="P47" s="2" t="str">
        <x:v>NR</x:v>
      </x:c>
      <x:c r="Q47" s="2" t="str">
        <x:v>No</x:v>
      </x:c>
      <x:c r="R47" s="2" t="str">
        <x:v>No</x:v>
      </x:c>
      <x:c r="S47" s="2" t="str">
        <x:v>No</x:v>
      </x:c>
      <x:c r="T47" s="2" t="str">
        <x:v>Iterates over each requirement, sending one request per requirement to the LLM.</x:v>
      </x:c>
      <x:c r="U47" s="6" t="str">
        <x:v>p. 5; Table 3</x:v>
      </x:c>
      <x:c r="V47" s="6" t="str">
        <x:v>PT2 NO + RS: Changed from default system prompt role to a task-specific role</x:v>
      </x:c>
      <x:c r="W47" s="6" t="str">
        <x:v>GPT-4 使用 PT2 提示模板进行实验。</x:v>
      </x:c>
      <x:c r="X47" s="6" t="str">
        <x:v>NA</x:v>
      </x:c>
    </x:row>
    <x:row r="48" ht="76" customHeight="1">
      <x:c r="A48" s="2" t="str">
        <x:v>S07</x:v>
      </x:c>
      <x:c r="B48" s="2" t="str">
        <x:v>S07-CF12</x:v>
      </x:c>
      <x:c r="C48" s="2" t="str">
        <x:v>S07-MU02</x:v>
      </x:c>
      <x:c r="D48" s="2" t="str">
        <x:v>S07-O01</x:v>
      </x:c>
      <x:c r="E48" s="2" t="str">
        <x:v>Prompting</x:v>
      </x:c>
      <x:c r="F48" s="2" t="str">
        <x:v>PT3</x:v>
      </x:c>
      <x:c r="G48" s="2" t="str">
        <x:v>PT3</x:v>
      </x:c>
      <x:c r="H48" s="6" t="str">
        <x:v>默认 JSON 对象输出，同时采用任务特定角色。</x:v>
      </x:c>
      <x:c r="I48" s="2" t="str">
        <x:v>Yes</x:v>
      </x:c>
      <x:c r="J48" s="2"/>
      <x:c r="K48" s="6" t="str">
        <x:v>Prompt design</x:v>
      </x:c>
      <x:c r="L48" s="2" t="str">
        <x:v>Structured/template prompting</x:v>
      </x:c>
      <x:c r="M48" s="2" t="str">
        <x:v>Structured/template prompting</x:v>
      </x:c>
      <x:c r="N48" s="2" t="str">
        <x:v>Yes</x:v>
      </x:c>
      <x:c r="O48" s="2" t="str">
        <x:v>Partial description</x:v>
      </x:c>
      <x:c r="P48" s="2" t="str">
        <x:v>NR</x:v>
      </x:c>
      <x:c r="Q48" s="2" t="str">
        <x:v>No</x:v>
      </x:c>
      <x:c r="R48" s="2" t="str">
        <x:v>No</x:v>
      </x:c>
      <x:c r="S48" s="2" t="str">
        <x:v>No</x:v>
      </x:c>
      <x:c r="T48" s="2" t="str">
        <x:v>Iterates over each requirement, sending one request per requirement to the LLM.</x:v>
      </x:c>
      <x:c r="U48" s="6" t="str">
        <x:v>p. 5; Table 3</x:v>
      </x:c>
      <x:c r="V48" s="6" t="str">
        <x:v>PT3 DO + RS</x:v>
      </x:c>
      <x:c r="W48" s="6" t="str">
        <x:v>GPT-4 使用 PT3 提示模板进行实验。</x:v>
      </x:c>
      <x:c r="X48" s="6" t="str">
        <x:v>NA</x:v>
      </x:c>
    </x:row>
    <x:row r="49" ht="76" customHeight="1">
      <x:c r="A49" s="2" t="str">
        <x:v>S07</x:v>
      </x:c>
      <x:c r="B49" s="2" t="str">
        <x:v>S07-CF13</x:v>
      </x:c>
      <x:c r="C49" s="2" t="str">
        <x:v>S07-MU02</x:v>
      </x:c>
      <x:c r="D49" s="2" t="str">
        <x:v>S07-O01</x:v>
      </x:c>
      <x:c r="E49" s="2" t="str">
        <x:v>Prompting</x:v>
      </x:c>
      <x:c r="F49" s="2" t="str">
        <x:v>PT4</x:v>
      </x:c>
      <x:c r="G49" s="2" t="str">
        <x:v>PT4</x:v>
      </x:c>
      <x:c r="H49" s="6" t="str">
        <x:v>系统提示包含语气指导作为角色、指令、上下文信息、规则和输出格式；用户提示包含任务描述、上下文和数据。采用 JSON 数组输出。</x:v>
      </x:c>
      <x:c r="I49" s="2" t="str">
        <x:v>Yes</x:v>
      </x:c>
      <x:c r="J49" s="2"/>
      <x:c r="K49" s="6" t="str">
        <x:v>Prompt design</x:v>
      </x:c>
      <x:c r="L49" s="2" t="str">
        <x:v>Role/system/persona prompting</x:v>
      </x:c>
      <x:c r="M49" s="2" t="str">
        <x:v>Role/system/persona prompting; Structured/template prompting</x:v>
      </x:c>
      <x:c r="N49" s="2" t="str">
        <x:v>Yes</x:v>
      </x:c>
      <x:c r="O49" s="2" t="str">
        <x:v>Full prompt reported</x:v>
      </x:c>
      <x:c r="P49" s="2" t="str">
        <x:v>NR</x:v>
      </x:c>
      <x:c r="Q49" s="2" t="str">
        <x:v>No</x:v>
      </x:c>
      <x:c r="R49" s="2" t="str">
        <x:v>No</x:v>
      </x:c>
      <x:c r="S49" s="2" t="str">
        <x:v>No</x:v>
      </x:c>
      <x:c r="T49" s="2" t="str">
        <x:v>Iterates over each requirement, sending one request per requirement to the LLM.</x:v>
      </x:c>
      <x:c r="U49" s="6" t="str">
        <x:v>p. 5; Table 3</x:v>
      </x:c>
      <x:c r="V49" s="6" t="str">
        <x:v>RS + NO + ReOP: System: Tone guidelines as role, Instructions, Context information, Rules and Guidelines,</x:v>
      </x:c>
      <x:c r="W49" s="6" t="str">
        <x:v>GPT-4 使用 PT4 提示模板进行实验。</x:v>
      </x:c>
      <x:c r="X49" s="6" t="str">
        <x:v>Full prompt example on p.5, Section 4.3.</x:v>
      </x:c>
    </x:row>
    <x:row r="50" ht="76" customHeight="1">
      <x:c r="A50" s="2" t="str">
        <x:v>S07</x:v>
      </x:c>
      <x:c r="B50" s="2" t="str">
        <x:v>S07-CF14</x:v>
      </x:c>
      <x:c r="C50" s="2" t="str">
        <x:v>S07-MU02</x:v>
      </x:c>
      <x:c r="D50" s="2" t="str">
        <x:v>S07-O01</x:v>
      </x:c>
      <x:c r="E50" s="2" t="str">
        <x:v>Prompting</x:v>
      </x:c>
      <x:c r="F50" s="2" t="str">
        <x:v>PT5</x:v>
      </x:c>
      <x:c r="G50" s="2" t="str">
        <x:v>PT5</x:v>
      </x:c>
      <x:c r="H50" s="6" t="str">
        <x:v>与 PT4 类似，但采用默认 JSON 对象输出。</x:v>
      </x:c>
      <x:c r="I50" s="2" t="str">
        <x:v>Yes</x:v>
      </x:c>
      <x:c r="J50" s="2"/>
      <x:c r="K50" s="6" t="str">
        <x:v>Prompt design</x:v>
      </x:c>
      <x:c r="L50" s="2" t="str">
        <x:v>Structured/template prompting</x:v>
      </x:c>
      <x:c r="M50" s="2" t="str">
        <x:v>Structured/template prompting</x:v>
      </x:c>
      <x:c r="N50" s="2" t="str">
        <x:v>Yes</x:v>
      </x:c>
      <x:c r="O50" s="2" t="str">
        <x:v>Partial description</x:v>
      </x:c>
      <x:c r="P50" s="2" t="str">
        <x:v>NR</x:v>
      </x:c>
      <x:c r="Q50" s="2" t="str">
        <x:v>No</x:v>
      </x:c>
      <x:c r="R50" s="2" t="str">
        <x:v>No</x:v>
      </x:c>
      <x:c r="S50" s="2" t="str">
        <x:v>No</x:v>
      </x:c>
      <x:c r="T50" s="2" t="str">
        <x:v>Iterates over each requirement, sending one request per requirement to the LLM.</x:v>
      </x:c>
      <x:c r="U50" s="6" t="str">
        <x:v>p. 5; Table 3</x:v>
      </x:c>
      <x:c r="V50" s="6" t="str">
        <x:v>PT5 RS + DO + ReOP</x:v>
      </x:c>
      <x:c r="W50" s="6" t="str">
        <x:v>GPT-4 使用 PT5 提示模板进行实验。</x:v>
      </x:c>
      <x:c r="X50" s="6" t="str">
        <x:v>NA</x:v>
      </x:c>
    </x:row>
    <x:row r="51" ht="76" customHeight="1">
      <x:c r="A51" s="2" t="str">
        <x:v>S07</x:v>
      </x:c>
      <x:c r="B51" s="2" t="str">
        <x:v>S07-CF15</x:v>
      </x:c>
      <x:c r="C51" s="2" t="str">
        <x:v>S07-MU02</x:v>
      </x:c>
      <x:c r="D51" s="2" t="str">
        <x:v>S07-O01</x:v>
      </x:c>
      <x:c r="E51" s="2" t="str">
        <x:v>Prompting</x:v>
      </x:c>
      <x:c r="F51" s="2" t="str">
        <x:v>PT6</x:v>
      </x:c>
      <x:c r="G51" s="2" t="str">
        <x:v>PT6</x:v>
      </x:c>
      <x:c r="H51" s="6" t="str">
        <x:v>采用严格的分节结构，包含语气指导作为角色、指令与目标、任务上下文、规则和输出格式；用户提示仅包含任务数据。JSON 数组输出。</x:v>
      </x:c>
      <x:c r="I51" s="2" t="str">
        <x:v>Yes</x:v>
      </x:c>
      <x:c r="J51" s="2"/>
      <x:c r="K51" s="6" t="str">
        <x:v>Prompt design</x:v>
      </x:c>
      <x:c r="L51" s="2" t="str">
        <x:v>Role/system/persona prompting</x:v>
      </x:c>
      <x:c r="M51" s="2" t="str">
        <x:v>Role/system/persona prompting; Structured/template prompting</x:v>
      </x:c>
      <x:c r="N51" s="2" t="str">
        <x:v>Yes</x:v>
      </x:c>
      <x:c r="O51" s="2" t="str">
        <x:v>Partial description</x:v>
      </x:c>
      <x:c r="P51" s="2" t="str">
        <x:v>NR</x:v>
      </x:c>
      <x:c r="Q51" s="2" t="str">
        <x:v>No</x:v>
      </x:c>
      <x:c r="R51" s="2" t="str">
        <x:v>No</x:v>
      </x:c>
      <x:c r="S51" s="2" t="str">
        <x:v>No</x:v>
      </x:c>
      <x:c r="T51" s="2" t="str">
        <x:v>Iterates over each requirement, sending one request per requirement to the LLM.</x:v>
      </x:c>
      <x:c r="U51" s="6" t="str">
        <x:v>p. 5; Table 3</x:v>
      </x:c>
      <x:c r="V51" s="6" t="str">
        <x:v>PT6 RS + NO + PP: Strict structure using section division of each component. Tone guidelines as role, Instruction and Objectives, Task context, Rules, and Output format. User: Task data</x:v>
      </x:c>
      <x:c r="W51" s="6" t="str">
        <x:v>GPT-4 使用 PT6 提示模板进行实验。</x:v>
      </x:c>
      <x:c r="X51" s="6" t="str">
        <x:v>NA</x:v>
      </x:c>
    </x:row>
    <x:row r="52" ht="76" customHeight="1">
      <x:c r="A52" s="2" t="str">
        <x:v>S07</x:v>
      </x:c>
      <x:c r="B52" s="2" t="str">
        <x:v>S07-CF16</x:v>
      </x:c>
      <x:c r="C52" s="2" t="str">
        <x:v>S07-MU02</x:v>
      </x:c>
      <x:c r="D52" s="2" t="str">
        <x:v>S07-O01</x:v>
      </x:c>
      <x:c r="E52" s="2" t="str">
        <x:v>Prompting</x:v>
      </x:c>
      <x:c r="F52" s="2" t="str">
        <x:v>PT7</x:v>
      </x:c>
      <x:c r="G52" s="2" t="str">
        <x:v>PT7</x:v>
      </x:c>
      <x:c r="H52" s="6" t="str">
        <x:v>类似 PT6，但采用默认 JSON 对象输出。</x:v>
      </x:c>
      <x:c r="I52" s="2" t="str">
        <x:v>Yes</x:v>
      </x:c>
      <x:c r="J52" s="2"/>
      <x:c r="K52" s="6" t="str">
        <x:v>Prompt design</x:v>
      </x:c>
      <x:c r="L52" s="2" t="str">
        <x:v>Structured/template prompting</x:v>
      </x:c>
      <x:c r="M52" s="2" t="str">
        <x:v>Structured/template prompting</x:v>
      </x:c>
      <x:c r="N52" s="2" t="str">
        <x:v>Yes</x:v>
      </x:c>
      <x:c r="O52" s="2" t="str">
        <x:v>Partial description</x:v>
      </x:c>
      <x:c r="P52" s="2" t="str">
        <x:v>NR</x:v>
      </x:c>
      <x:c r="Q52" s="2" t="str">
        <x:v>No</x:v>
      </x:c>
      <x:c r="R52" s="2" t="str">
        <x:v>No</x:v>
      </x:c>
      <x:c r="S52" s="2" t="str">
        <x:v>No</x:v>
      </x:c>
      <x:c r="T52" s="2" t="str">
        <x:v>Iterates over each requirement, sending one request per requirement to the LLM.</x:v>
      </x:c>
      <x:c r="U52" s="6" t="str">
        <x:v>p. 5; Table 3</x:v>
      </x:c>
      <x:c r="V52" s="6" t="str">
        <x:v>PT7 RS + DO + PP</x:v>
      </x:c>
      <x:c r="W52" s="6" t="str">
        <x:v>GPT-4 使用 PT7 提示模板进行实验。</x:v>
      </x:c>
      <x:c r="X52" s="6" t="str">
        <x:v>NA</x:v>
      </x:c>
    </x:row>
    <x:row r="53" ht="76" customHeight="1">
      <x:c r="A53" s="2" t="str">
        <x:v>S07</x:v>
      </x:c>
      <x:c r="B53" s="2" t="str">
        <x:v>S07-CF17</x:v>
      </x:c>
      <x:c r="C53" s="2" t="str">
        <x:v>S07-MU03</x:v>
      </x:c>
      <x:c r="D53" s="2" t="str">
        <x:v>S07-O01</x:v>
      </x:c>
      <x:c r="E53" s="2" t="str">
        <x:v>Prompting</x:v>
      </x:c>
      <x:c r="F53" s="2" t="str">
        <x:v>BASE</x:v>
      </x:c>
      <x:c r="G53" s="2" t="str">
        <x:v>BASE</x:v>
      </x:c>
      <x:c r="H53" s="6" t="str">
        <x:v>默认提示模板：系统默认角色，用户指令包含任务、上下文、规则和 JSON 对象输出格式。</x:v>
      </x:c>
      <x:c r="I53" s="2" t="str">
        <x:v>Yes</x:v>
      </x:c>
      <x:c r="J53" s="2"/>
      <x:c r="K53" s="6" t="str">
        <x:v>Prompt design</x:v>
      </x:c>
      <x:c r="L53" s="2" t="str">
        <x:v>Structured/template prompting</x:v>
      </x:c>
      <x:c r="M53" s="2" t="str">
        <x:v>Structured/template prompting</x:v>
      </x:c>
      <x:c r="N53" s="2" t="str">
        <x:v>Yes</x:v>
      </x:c>
      <x:c r="O53" s="2" t="str">
        <x:v>Partial description</x:v>
      </x:c>
      <x:c r="P53" s="2" t="str">
        <x:v>NR</x:v>
      </x:c>
      <x:c r="Q53" s="2" t="str">
        <x:v>No</x:v>
      </x:c>
      <x:c r="R53" s="2" t="str">
        <x:v>No</x:v>
      </x:c>
      <x:c r="S53" s="2" t="str">
        <x:v>No</x:v>
      </x:c>
      <x:c r="T53" s="2" t="str">
        <x:v>Iterates over each requirement, sending one request per requirement to the LLM.</x:v>
      </x:c>
      <x:c r="U53" s="6" t="str">
        <x:v>p. 5; Table 3</x:v>
      </x:c>
      <x:c r="V53" s="6" t="str">
        <x:v>BASE DO: System: Default Role. User: Instruction and Objectives, Context information, Rules and Guidelines, and Output format (JSON Object)</x:v>
      </x:c>
      <x:c r="W53" s="6" t="str">
        <x:v>LLAMA 3 70B 使用 BASE 提示模板进行实验。</x:v>
      </x:c>
      <x:c r="X53" s="6" t="str">
        <x:v>NA</x:v>
      </x:c>
    </x:row>
    <x:row r="54" ht="76" customHeight="1">
      <x:c r="A54" s="2" t="str">
        <x:v>S07</x:v>
      </x:c>
      <x:c r="B54" s="2" t="str">
        <x:v>S07-CF18</x:v>
      </x:c>
      <x:c r="C54" s="2" t="str">
        <x:v>S07-MU03</x:v>
      </x:c>
      <x:c r="D54" s="2" t="str">
        <x:v>S07-O01</x:v>
      </x:c>
      <x:c r="E54" s="2" t="str">
        <x:v>Prompting</x:v>
      </x:c>
      <x:c r="F54" s="2" t="str">
        <x:v>PT1</x:v>
      </x:c>
      <x:c r="G54" s="2" t="str">
        <x:v>PT1</x:v>
      </x:c>
      <x:c r="H54" s="6" t="str">
        <x:v>输出格式改为 JSON 数组。</x:v>
      </x:c>
      <x:c r="I54" s="2" t="str">
        <x:v>Yes</x:v>
      </x:c>
      <x:c r="J54" s="2"/>
      <x:c r="K54" s="6" t="str">
        <x:v>Prompt design</x:v>
      </x:c>
      <x:c r="L54" s="2" t="str">
        <x:v>Structured/template prompting</x:v>
      </x:c>
      <x:c r="M54" s="2" t="str">
        <x:v>Structured/template prompting</x:v>
      </x:c>
      <x:c r="N54" s="2" t="str">
        <x:v>Yes</x:v>
      </x:c>
      <x:c r="O54" s="2" t="str">
        <x:v>Partial description</x:v>
      </x:c>
      <x:c r="P54" s="2" t="str">
        <x:v>NR</x:v>
      </x:c>
      <x:c r="Q54" s="2" t="str">
        <x:v>No</x:v>
      </x:c>
      <x:c r="R54" s="2" t="str">
        <x:v>No</x:v>
      </x:c>
      <x:c r="S54" s="2" t="str">
        <x:v>No</x:v>
      </x:c>
      <x:c r="T54" s="2" t="str">
        <x:v>Iterates over each requirement, sending one request per requirement to the LLM.</x:v>
      </x:c>
      <x:c r="U54" s="6" t="str">
        <x:v>p. 5; Table 3</x:v>
      </x:c>
      <x:c r="V54" s="6" t="str">
        <x:v>PT1 NO: System: The output format is changed to a JSON</x:v>
      </x:c>
      <x:c r="W54" s="6" t="str">
        <x:v>LLAMA 3 70B 使用 PT1 提示模板进行实验。</x:v>
      </x:c>
      <x:c r="X54" s="6" t="str">
        <x:v>NA</x:v>
      </x:c>
    </x:row>
    <x:row r="55" ht="76" customHeight="1">
      <x:c r="A55" s="2" t="str">
        <x:v>S07</x:v>
      </x:c>
      <x:c r="B55" s="2" t="str">
        <x:v>S07-CF19</x:v>
      </x:c>
      <x:c r="C55" s="2" t="str">
        <x:v>S07-MU03</x:v>
      </x:c>
      <x:c r="D55" s="2" t="str">
        <x:v>S07-O01</x:v>
      </x:c>
      <x:c r="E55" s="2" t="str">
        <x:v>Prompting</x:v>
      </x:c>
      <x:c r="F55" s="2" t="str">
        <x:v>PT2</x:v>
      </x:c>
      <x:c r="G55" s="2" t="str">
        <x:v>PT2</x:v>
      </x:c>
      <x:c r="H55" s="6" t="str">
        <x:v>更改系统提示角色为任务特定角色，并采用 JSON 数组输出。</x:v>
      </x:c>
      <x:c r="I55" s="2" t="str">
        <x:v>Yes</x:v>
      </x:c>
      <x:c r="J55" s="2"/>
      <x:c r="K55" s="6" t="str">
        <x:v>Prompt design</x:v>
      </x:c>
      <x:c r="L55" s="2" t="str">
        <x:v>Role/system/persona prompting</x:v>
      </x:c>
      <x:c r="M55" s="2" t="str">
        <x:v>Role/system/persona prompting; Structured/template prompting</x:v>
      </x:c>
      <x:c r="N55" s="2" t="str">
        <x:v>Yes</x:v>
      </x:c>
      <x:c r="O55" s="2" t="str">
        <x:v>Partial description</x:v>
      </x:c>
      <x:c r="P55" s="2" t="str">
        <x:v>NR</x:v>
      </x:c>
      <x:c r="Q55" s="2" t="str">
        <x:v>No</x:v>
      </x:c>
      <x:c r="R55" s="2" t="str">
        <x:v>No</x:v>
      </x:c>
      <x:c r="S55" s="2" t="str">
        <x:v>No</x:v>
      </x:c>
      <x:c r="T55" s="2" t="str">
        <x:v>Iterates over each requirement, sending one request per requirement to the LLM.</x:v>
      </x:c>
      <x:c r="U55" s="6" t="str">
        <x:v>p. 5; Table 3</x:v>
      </x:c>
      <x:c r="V55" s="6" t="str">
        <x:v>PT2 NO + RS: Changed from default system prompt role to a task-specific role</x:v>
      </x:c>
      <x:c r="W55" s="6" t="str">
        <x:v>LLAMA 3 70B 使用 PT2 提示模板进行实验。</x:v>
      </x:c>
      <x:c r="X55" s="6" t="str">
        <x:v>NA</x:v>
      </x:c>
    </x:row>
    <x:row r="56" ht="76" customHeight="1">
      <x:c r="A56" s="2" t="str">
        <x:v>S07</x:v>
      </x:c>
      <x:c r="B56" s="2" t="str">
        <x:v>S07-CF20</x:v>
      </x:c>
      <x:c r="C56" s="2" t="str">
        <x:v>S07-MU03</x:v>
      </x:c>
      <x:c r="D56" s="2" t="str">
        <x:v>S07-O01</x:v>
      </x:c>
      <x:c r="E56" s="2" t="str">
        <x:v>Prompting</x:v>
      </x:c>
      <x:c r="F56" s="2" t="str">
        <x:v>PT3</x:v>
      </x:c>
      <x:c r="G56" s="2" t="str">
        <x:v>PT3</x:v>
      </x:c>
      <x:c r="H56" s="6" t="str">
        <x:v>默认 JSON 对象输出，同时采用任务特定角色。</x:v>
      </x:c>
      <x:c r="I56" s="2" t="str">
        <x:v>Yes</x:v>
      </x:c>
      <x:c r="J56" s="2"/>
      <x:c r="K56" s="6" t="str">
        <x:v>Prompt design</x:v>
      </x:c>
      <x:c r="L56" s="2" t="str">
        <x:v>Structured/template prompting</x:v>
      </x:c>
      <x:c r="M56" s="2" t="str">
        <x:v>Structured/template prompting</x:v>
      </x:c>
      <x:c r="N56" s="2" t="str">
        <x:v>Yes</x:v>
      </x:c>
      <x:c r="O56" s="2" t="str">
        <x:v>Partial description</x:v>
      </x:c>
      <x:c r="P56" s="2" t="str">
        <x:v>NR</x:v>
      </x:c>
      <x:c r="Q56" s="2" t="str">
        <x:v>No</x:v>
      </x:c>
      <x:c r="R56" s="2" t="str">
        <x:v>No</x:v>
      </x:c>
      <x:c r="S56" s="2" t="str">
        <x:v>No</x:v>
      </x:c>
      <x:c r="T56" s="2" t="str">
        <x:v>Iterates over each requirement, sending one request per requirement to the LLM.</x:v>
      </x:c>
      <x:c r="U56" s="6" t="str">
        <x:v>p. 5; Table 3</x:v>
      </x:c>
      <x:c r="V56" s="6" t="str">
        <x:v>PT3 DO + RS</x:v>
      </x:c>
      <x:c r="W56" s="6" t="str">
        <x:v>LLAMA 3 70B 使用 PT3 提示模板进行实验。</x:v>
      </x:c>
      <x:c r="X56" s="6" t="str">
        <x:v>NA</x:v>
      </x:c>
    </x:row>
    <x:row r="57" ht="76" customHeight="1">
      <x:c r="A57" s="2" t="str">
        <x:v>S07</x:v>
      </x:c>
      <x:c r="B57" s="2" t="str">
        <x:v>S07-CF21</x:v>
      </x:c>
      <x:c r="C57" s="2" t="str">
        <x:v>S07-MU03</x:v>
      </x:c>
      <x:c r="D57" s="2" t="str">
        <x:v>S07-O01</x:v>
      </x:c>
      <x:c r="E57" s="2" t="str">
        <x:v>Prompting</x:v>
      </x:c>
      <x:c r="F57" s="2" t="str">
        <x:v>PT4</x:v>
      </x:c>
      <x:c r="G57" s="2" t="str">
        <x:v>PT4</x:v>
      </x:c>
      <x:c r="H57" s="6" t="str">
        <x:v>系统提示包含语气指导作为角色、指令、上下文信息、规则和输出格式；用户提示包含任务描述、上下文和数据。采用 JSON 数组输出。</x:v>
      </x:c>
      <x:c r="I57" s="2" t="str">
        <x:v>Yes</x:v>
      </x:c>
      <x:c r="J57" s="2"/>
      <x:c r="K57" s="6" t="str">
        <x:v>Prompt design</x:v>
      </x:c>
      <x:c r="L57" s="2" t="str">
        <x:v>Role/system/persona prompting</x:v>
      </x:c>
      <x:c r="M57" s="2" t="str">
        <x:v>Role/system/persona prompting; Structured/template prompting</x:v>
      </x:c>
      <x:c r="N57" s="2" t="str">
        <x:v>Yes</x:v>
      </x:c>
      <x:c r="O57" s="2" t="str">
        <x:v>Full prompt reported</x:v>
      </x:c>
      <x:c r="P57" s="2" t="str">
        <x:v>NR</x:v>
      </x:c>
      <x:c r="Q57" s="2" t="str">
        <x:v>No</x:v>
      </x:c>
      <x:c r="R57" s="2" t="str">
        <x:v>No</x:v>
      </x:c>
      <x:c r="S57" s="2" t="str">
        <x:v>No</x:v>
      </x:c>
      <x:c r="T57" s="2" t="str">
        <x:v>Iterates over each requirement, sending one request per requirement to the LLM.</x:v>
      </x:c>
      <x:c r="U57" s="6" t="str">
        <x:v>p. 5; Table 3</x:v>
      </x:c>
      <x:c r="V57" s="6" t="str">
        <x:v>RS + NO + ReOP: System: Tone guidelines as role, Instructions, Context information, Rules and Guidelines,</x:v>
      </x:c>
      <x:c r="W57" s="6" t="str">
        <x:v>LLAMA 3 70B 使用 PT4 提示模板进行实验。</x:v>
      </x:c>
      <x:c r="X57" s="6" t="str">
        <x:v>Full prompt example on p.5, Section 4.3.</x:v>
      </x:c>
    </x:row>
    <x:row r="58" ht="76" customHeight="1">
      <x:c r="A58" s="2" t="str">
        <x:v>S07</x:v>
      </x:c>
      <x:c r="B58" s="2" t="str">
        <x:v>S07-CF22</x:v>
      </x:c>
      <x:c r="C58" s="2" t="str">
        <x:v>S07-MU03</x:v>
      </x:c>
      <x:c r="D58" s="2" t="str">
        <x:v>S07-O01</x:v>
      </x:c>
      <x:c r="E58" s="2" t="str">
        <x:v>Prompting</x:v>
      </x:c>
      <x:c r="F58" s="2" t="str">
        <x:v>PT5</x:v>
      </x:c>
      <x:c r="G58" s="2" t="str">
        <x:v>PT5</x:v>
      </x:c>
      <x:c r="H58" s="6" t="str">
        <x:v>与 PT4 类似，但采用默认 JSON 对象输出。</x:v>
      </x:c>
      <x:c r="I58" s="2" t="str">
        <x:v>Yes</x:v>
      </x:c>
      <x:c r="J58" s="2"/>
      <x:c r="K58" s="6" t="str">
        <x:v>Prompt design</x:v>
      </x:c>
      <x:c r="L58" s="2" t="str">
        <x:v>Structured/template prompting</x:v>
      </x:c>
      <x:c r="M58" s="2" t="str">
        <x:v>Structured/template prompting</x:v>
      </x:c>
      <x:c r="N58" s="2" t="str">
        <x:v>Yes</x:v>
      </x:c>
      <x:c r="O58" s="2" t="str">
        <x:v>Partial description</x:v>
      </x:c>
      <x:c r="P58" s="2" t="str">
        <x:v>NR</x:v>
      </x:c>
      <x:c r="Q58" s="2" t="str">
        <x:v>No</x:v>
      </x:c>
      <x:c r="R58" s="2" t="str">
        <x:v>No</x:v>
      </x:c>
      <x:c r="S58" s="2" t="str">
        <x:v>No</x:v>
      </x:c>
      <x:c r="T58" s="2" t="str">
        <x:v>Iterates over each requirement, sending one request per requirement to the LLM.</x:v>
      </x:c>
      <x:c r="U58" s="6" t="str">
        <x:v>p. 5; Table 3</x:v>
      </x:c>
      <x:c r="V58" s="6" t="str">
        <x:v>PT5 RS + DO + ReOP</x:v>
      </x:c>
      <x:c r="W58" s="6" t="str">
        <x:v>LLAMA 3 70B 使用 PT5 提示模板进行实验。</x:v>
      </x:c>
      <x:c r="X58" s="6" t="str">
        <x:v>NA</x:v>
      </x:c>
    </x:row>
    <x:row r="59" ht="76" customHeight="1">
      <x:c r="A59" s="2" t="str">
        <x:v>S07</x:v>
      </x:c>
      <x:c r="B59" s="2" t="str">
        <x:v>S07-CF23</x:v>
      </x:c>
      <x:c r="C59" s="2" t="str">
        <x:v>S07-MU03</x:v>
      </x:c>
      <x:c r="D59" s="2" t="str">
        <x:v>S07-O01</x:v>
      </x:c>
      <x:c r="E59" s="2" t="str">
        <x:v>Prompting</x:v>
      </x:c>
      <x:c r="F59" s="2" t="str">
        <x:v>PT6</x:v>
      </x:c>
      <x:c r="G59" s="2" t="str">
        <x:v>PT6</x:v>
      </x:c>
      <x:c r="H59" s="6" t="str">
        <x:v>采用严格的分节结构，包含语气指导作为角色、指令与目标、任务上下文、规则和输出格式；用户提示仅包含任务数据。JSON 数组输出。</x:v>
      </x:c>
      <x:c r="I59" s="2" t="str">
        <x:v>Yes</x:v>
      </x:c>
      <x:c r="J59" s="2"/>
      <x:c r="K59" s="6" t="str">
        <x:v>Prompt design</x:v>
      </x:c>
      <x:c r="L59" s="2" t="str">
        <x:v>Role/system/persona prompting</x:v>
      </x:c>
      <x:c r="M59" s="2" t="str">
        <x:v>Role/system/persona prompting; Structured/template prompting</x:v>
      </x:c>
      <x:c r="N59" s="2" t="str">
        <x:v>Yes</x:v>
      </x:c>
      <x:c r="O59" s="2" t="str">
        <x:v>Partial description</x:v>
      </x:c>
      <x:c r="P59" s="2" t="str">
        <x:v>NR</x:v>
      </x:c>
      <x:c r="Q59" s="2" t="str">
        <x:v>No</x:v>
      </x:c>
      <x:c r="R59" s="2" t="str">
        <x:v>No</x:v>
      </x:c>
      <x:c r="S59" s="2" t="str">
        <x:v>No</x:v>
      </x:c>
      <x:c r="T59" s="2" t="str">
        <x:v>Iterates over each requirement, sending one request per requirement to the LLM.</x:v>
      </x:c>
      <x:c r="U59" s="6" t="str">
        <x:v>p. 5; Table 3</x:v>
      </x:c>
      <x:c r="V59" s="6" t="str">
        <x:v>PT6 RS + NO + PP: Strict structure using section division of each component. Tone guidelines as role, Instruction and Objectives, Task context, Rules, and Output format. User: Task data</x:v>
      </x:c>
      <x:c r="W59" s="6" t="str">
        <x:v>LLAMA 3 70B 使用 PT6 提示模板进行实验。</x:v>
      </x:c>
      <x:c r="X59" s="6" t="str">
        <x:v>NA</x:v>
      </x:c>
    </x:row>
    <x:row r="60" ht="76" customHeight="1">
      <x:c r="A60" s="2" t="str">
        <x:v>S07</x:v>
      </x:c>
      <x:c r="B60" s="2" t="str">
        <x:v>S07-CF24</x:v>
      </x:c>
      <x:c r="C60" s="2" t="str">
        <x:v>S07-MU03</x:v>
      </x:c>
      <x:c r="D60" s="2" t="str">
        <x:v>S07-O01</x:v>
      </x:c>
      <x:c r="E60" s="2" t="str">
        <x:v>Prompting</x:v>
      </x:c>
      <x:c r="F60" s="2" t="str">
        <x:v>PT7</x:v>
      </x:c>
      <x:c r="G60" s="2" t="str">
        <x:v>PT7</x:v>
      </x:c>
      <x:c r="H60" s="6" t="str">
        <x:v>类似 PT6，但采用默认 JSON 对象输出。</x:v>
      </x:c>
      <x:c r="I60" s="2" t="str">
        <x:v>Yes</x:v>
      </x:c>
      <x:c r="J60" s="2"/>
      <x:c r="K60" s="6" t="str">
        <x:v>Prompt design</x:v>
      </x:c>
      <x:c r="L60" s="2" t="str">
        <x:v>Structured/template prompting</x:v>
      </x:c>
      <x:c r="M60" s="2" t="str">
        <x:v>Structured/template prompting</x:v>
      </x:c>
      <x:c r="N60" s="2" t="str">
        <x:v>Yes</x:v>
      </x:c>
      <x:c r="O60" s="2" t="str">
        <x:v>Partial description</x:v>
      </x:c>
      <x:c r="P60" s="2" t="str">
        <x:v>NR</x:v>
      </x:c>
      <x:c r="Q60" s="2" t="str">
        <x:v>No</x:v>
      </x:c>
      <x:c r="R60" s="2" t="str">
        <x:v>No</x:v>
      </x:c>
      <x:c r="S60" s="2" t="str">
        <x:v>No</x:v>
      </x:c>
      <x:c r="T60" s="2" t="str">
        <x:v>Iterates over each requirement, sending one request per requirement to the LLM.</x:v>
      </x:c>
      <x:c r="U60" s="6" t="str">
        <x:v>p. 5; Table 3</x:v>
      </x:c>
      <x:c r="V60" s="6" t="str">
        <x:v>PT7 RS + DO + PP</x:v>
      </x:c>
      <x:c r="W60" s="6" t="str">
        <x:v>LLAMA 3 70B 使用 PT7 提示模板进行实验。</x:v>
      </x:c>
      <x:c r="X60" s="6" t="str">
        <x:v>NA</x:v>
      </x:c>
    </x:row>
    <x:row r="61" ht="76" customHeight="1">
      <x:c r="A61" s="2" t="str">
        <x:v>S07</x:v>
      </x:c>
      <x:c r="B61" s="2" t="str">
        <x:v>S07-CF25</x:v>
      </x:c>
      <x:c r="C61" s="2" t="str">
        <x:v>S07-MU04</x:v>
      </x:c>
      <x:c r="D61" s="2" t="str">
        <x:v>S07-O01</x:v>
      </x:c>
      <x:c r="E61" s="2" t="str">
        <x:v>Prompting</x:v>
      </x:c>
      <x:c r="F61" s="2" t="str">
        <x:v>BASE</x:v>
      </x:c>
      <x:c r="G61" s="2" t="str">
        <x:v>BASE</x:v>
      </x:c>
      <x:c r="H61" s="6" t="str">
        <x:v>默认提示模板：系统默认角色，用户指令包含任务、上下文、规则和 JSON 对象输出格式。</x:v>
      </x:c>
      <x:c r="I61" s="2" t="str">
        <x:v>Yes</x:v>
      </x:c>
      <x:c r="J61" s="2"/>
      <x:c r="K61" s="6" t="str">
        <x:v>Prompt design</x:v>
      </x:c>
      <x:c r="L61" s="2" t="str">
        <x:v>Structured/template prompting</x:v>
      </x:c>
      <x:c r="M61" s="2" t="str">
        <x:v>Structured/template prompting</x:v>
      </x:c>
      <x:c r="N61" s="2" t="str">
        <x:v>Yes</x:v>
      </x:c>
      <x:c r="O61" s="2" t="str">
        <x:v>Partial description</x:v>
      </x:c>
      <x:c r="P61" s="2" t="str">
        <x:v>NR</x:v>
      </x:c>
      <x:c r="Q61" s="2" t="str">
        <x:v>No</x:v>
      </x:c>
      <x:c r="R61" s="2" t="str">
        <x:v>No</x:v>
      </x:c>
      <x:c r="S61" s="2" t="str">
        <x:v>No</x:v>
      </x:c>
      <x:c r="T61" s="2" t="str">
        <x:v>Iterates over each requirement, sending one request per requirement to the LLM.</x:v>
      </x:c>
      <x:c r="U61" s="6" t="str">
        <x:v>p. 5; Table 3</x:v>
      </x:c>
      <x:c r="V61" s="6" t="str">
        <x:v>BASE DO: System: Default Role. User: Instruction and Objectives, Context information, Rules and Guidelines, and Output format (JSON Object)</x:v>
      </x:c>
      <x:c r="W61" s="6" t="str">
        <x:v>Mistral 7B 使用 BASE 提示模板进行实验。</x:v>
      </x:c>
      <x:c r="X61" s="6" t="str">
        <x:v>NA</x:v>
      </x:c>
    </x:row>
    <x:row r="62" ht="76" customHeight="1">
      <x:c r="A62" s="2" t="str">
        <x:v>S07</x:v>
      </x:c>
      <x:c r="B62" s="2" t="str">
        <x:v>S07-CF26</x:v>
      </x:c>
      <x:c r="C62" s="2" t="str">
        <x:v>S07-MU04</x:v>
      </x:c>
      <x:c r="D62" s="2" t="str">
        <x:v>S07-O01</x:v>
      </x:c>
      <x:c r="E62" s="2" t="str">
        <x:v>Prompting</x:v>
      </x:c>
      <x:c r="F62" s="2" t="str">
        <x:v>PT1</x:v>
      </x:c>
      <x:c r="G62" s="2" t="str">
        <x:v>PT1</x:v>
      </x:c>
      <x:c r="H62" s="6" t="str">
        <x:v>输出格式改为 JSON 数组。</x:v>
      </x:c>
      <x:c r="I62" s="2" t="str">
        <x:v>Yes</x:v>
      </x:c>
      <x:c r="J62" s="2"/>
      <x:c r="K62" s="6" t="str">
        <x:v>Prompt design</x:v>
      </x:c>
      <x:c r="L62" s="2" t="str">
        <x:v>Structured/template prompting</x:v>
      </x:c>
      <x:c r="M62" s="2" t="str">
        <x:v>Structured/template prompting</x:v>
      </x:c>
      <x:c r="N62" s="2" t="str">
        <x:v>Yes</x:v>
      </x:c>
      <x:c r="O62" s="2" t="str">
        <x:v>Partial description</x:v>
      </x:c>
      <x:c r="P62" s="2" t="str">
        <x:v>NR</x:v>
      </x:c>
      <x:c r="Q62" s="2" t="str">
        <x:v>No</x:v>
      </x:c>
      <x:c r="R62" s="2" t="str">
        <x:v>No</x:v>
      </x:c>
      <x:c r="S62" s="2" t="str">
        <x:v>No</x:v>
      </x:c>
      <x:c r="T62" s="2" t="str">
        <x:v>Iterates over each requirement, sending one request per requirement to the LLM.</x:v>
      </x:c>
      <x:c r="U62" s="6" t="str">
        <x:v>p. 5; Table 3</x:v>
      </x:c>
      <x:c r="V62" s="6" t="str">
        <x:v>PT1 NO: System: The output format is changed to a JSON</x:v>
      </x:c>
      <x:c r="W62" s="6" t="str">
        <x:v>Mistral 7B 使用 PT1 提示模板进行实验。</x:v>
      </x:c>
      <x:c r="X62" s="6" t="str">
        <x:v>NA</x:v>
      </x:c>
    </x:row>
    <x:row r="63" ht="76" customHeight="1">
      <x:c r="A63" s="2" t="str">
        <x:v>S07</x:v>
      </x:c>
      <x:c r="B63" s="2" t="str">
        <x:v>S07-CF27</x:v>
      </x:c>
      <x:c r="C63" s="2" t="str">
        <x:v>S07-MU04</x:v>
      </x:c>
      <x:c r="D63" s="2" t="str">
        <x:v>S07-O01</x:v>
      </x:c>
      <x:c r="E63" s="2" t="str">
        <x:v>Prompting</x:v>
      </x:c>
      <x:c r="F63" s="2" t="str">
        <x:v>PT2</x:v>
      </x:c>
      <x:c r="G63" s="2" t="str">
        <x:v>PT2</x:v>
      </x:c>
      <x:c r="H63" s="6" t="str">
        <x:v>更改系统提示角色为任务特定角色，并采用 JSON 数组输出。</x:v>
      </x:c>
      <x:c r="I63" s="2" t="str">
        <x:v>Yes</x:v>
      </x:c>
      <x:c r="J63" s="2"/>
      <x:c r="K63" s="6" t="str">
        <x:v>Prompt design</x:v>
      </x:c>
      <x:c r="L63" s="2" t="str">
        <x:v>Role/system/persona prompting</x:v>
      </x:c>
      <x:c r="M63" s="2" t="str">
        <x:v>Role/system/persona prompting; Structured/template prompting</x:v>
      </x:c>
      <x:c r="N63" s="2" t="str">
        <x:v>Yes</x:v>
      </x:c>
      <x:c r="O63" s="2" t="str">
        <x:v>Partial description</x:v>
      </x:c>
      <x:c r="P63" s="2" t="str">
        <x:v>NR</x:v>
      </x:c>
      <x:c r="Q63" s="2" t="str">
        <x:v>No</x:v>
      </x:c>
      <x:c r="R63" s="2" t="str">
        <x:v>No</x:v>
      </x:c>
      <x:c r="S63" s="2" t="str">
        <x:v>No</x:v>
      </x:c>
      <x:c r="T63" s="2" t="str">
        <x:v>Iterates over each requirement, sending one request per requirement to the LLM.</x:v>
      </x:c>
      <x:c r="U63" s="6" t="str">
        <x:v>p. 5; Table 3</x:v>
      </x:c>
      <x:c r="V63" s="6" t="str">
        <x:v>PT2 NO + RS: Changed from default system prompt role to a task-specific role</x:v>
      </x:c>
      <x:c r="W63" s="6" t="str">
        <x:v>Mistral 7B 使用 PT2 提示模板进行实验。</x:v>
      </x:c>
      <x:c r="X63" s="6" t="str">
        <x:v>NA</x:v>
      </x:c>
    </x:row>
    <x:row r="64" ht="76" customHeight="1">
      <x:c r="A64" s="2" t="str">
        <x:v>S07</x:v>
      </x:c>
      <x:c r="B64" s="2" t="str">
        <x:v>S07-CF28</x:v>
      </x:c>
      <x:c r="C64" s="2" t="str">
        <x:v>S07-MU04</x:v>
      </x:c>
      <x:c r="D64" s="2" t="str">
        <x:v>S07-O01</x:v>
      </x:c>
      <x:c r="E64" s="2" t="str">
        <x:v>Prompting</x:v>
      </x:c>
      <x:c r="F64" s="2" t="str">
        <x:v>PT3</x:v>
      </x:c>
      <x:c r="G64" s="2" t="str">
        <x:v>PT3</x:v>
      </x:c>
      <x:c r="H64" s="6" t="str">
        <x:v>默认 JSON 对象输出，同时采用任务特定角色。</x:v>
      </x:c>
      <x:c r="I64" s="2" t="str">
        <x:v>Yes</x:v>
      </x:c>
      <x:c r="J64" s="2"/>
      <x:c r="K64" s="6" t="str">
        <x:v>Prompt design</x:v>
      </x:c>
      <x:c r="L64" s="2" t="str">
        <x:v>Structured/template prompting</x:v>
      </x:c>
      <x:c r="M64" s="2" t="str">
        <x:v>Structured/template prompting</x:v>
      </x:c>
      <x:c r="N64" s="2" t="str">
        <x:v>Yes</x:v>
      </x:c>
      <x:c r="O64" s="2" t="str">
        <x:v>Partial description</x:v>
      </x:c>
      <x:c r="P64" s="2" t="str">
        <x:v>NR</x:v>
      </x:c>
      <x:c r="Q64" s="2" t="str">
        <x:v>No</x:v>
      </x:c>
      <x:c r="R64" s="2" t="str">
        <x:v>No</x:v>
      </x:c>
      <x:c r="S64" s="2" t="str">
        <x:v>No</x:v>
      </x:c>
      <x:c r="T64" s="2" t="str">
        <x:v>Iterates over each requirement, sending one request per requirement to the LLM.</x:v>
      </x:c>
      <x:c r="U64" s="6" t="str">
        <x:v>p. 5; Table 3</x:v>
      </x:c>
      <x:c r="V64" s="6" t="str">
        <x:v>PT3 DO + RS</x:v>
      </x:c>
      <x:c r="W64" s="6" t="str">
        <x:v>Mistral 7B 使用 PT3 提示模板进行实验。</x:v>
      </x:c>
      <x:c r="X64" s="6" t="str">
        <x:v>NA</x:v>
      </x:c>
    </x:row>
    <x:row r="65" ht="76" customHeight="1">
      <x:c r="A65" s="2" t="str">
        <x:v>S07</x:v>
      </x:c>
      <x:c r="B65" s="2" t="str">
        <x:v>S07-CF29</x:v>
      </x:c>
      <x:c r="C65" s="2" t="str">
        <x:v>S07-MU04</x:v>
      </x:c>
      <x:c r="D65" s="2" t="str">
        <x:v>S07-O01</x:v>
      </x:c>
      <x:c r="E65" s="2" t="str">
        <x:v>Prompting</x:v>
      </x:c>
      <x:c r="F65" s="2" t="str">
        <x:v>PT4</x:v>
      </x:c>
      <x:c r="G65" s="2" t="str">
        <x:v>PT4</x:v>
      </x:c>
      <x:c r="H65" s="6" t="str">
        <x:v>系统提示包含语气指导作为角色、指令、上下文信息、规则和输出格式；用户提示包含任务描述、上下文和数据。采用 JSON 数组输出。</x:v>
      </x:c>
      <x:c r="I65" s="2" t="str">
        <x:v>Yes</x:v>
      </x:c>
      <x:c r="J65" s="2"/>
      <x:c r="K65" s="6" t="str">
        <x:v>Prompt design</x:v>
      </x:c>
      <x:c r="L65" s="2" t="str">
        <x:v>Role/system/persona prompting</x:v>
      </x:c>
      <x:c r="M65" s="2" t="str">
        <x:v>Role/system/persona prompting; Structured/template prompting</x:v>
      </x:c>
      <x:c r="N65" s="2" t="str">
        <x:v>Yes</x:v>
      </x:c>
      <x:c r="O65" s="2" t="str">
        <x:v>Full prompt reported</x:v>
      </x:c>
      <x:c r="P65" s="2" t="str">
        <x:v>NR</x:v>
      </x:c>
      <x:c r="Q65" s="2" t="str">
        <x:v>No</x:v>
      </x:c>
      <x:c r="R65" s="2" t="str">
        <x:v>No</x:v>
      </x:c>
      <x:c r="S65" s="2" t="str">
        <x:v>No</x:v>
      </x:c>
      <x:c r="T65" s="2" t="str">
        <x:v>Iterates over each requirement, sending one request per requirement to the LLM.</x:v>
      </x:c>
      <x:c r="U65" s="6" t="str">
        <x:v>p. 5; Table 3</x:v>
      </x:c>
      <x:c r="V65" s="6" t="str">
        <x:v>RS + NO + ReOP: System: Tone guidelines as role, Instructions, Context information, Rules and Guidelines,</x:v>
      </x:c>
      <x:c r="W65" s="6" t="str">
        <x:v>Mistral 7B 使用 PT4 提示模板进行实验。</x:v>
      </x:c>
      <x:c r="X65" s="6" t="str">
        <x:v>Full prompt example on p.5, Section 4.3.</x:v>
      </x:c>
    </x:row>
    <x:row r="66" ht="76" customHeight="1">
      <x:c r="A66" s="2" t="str">
        <x:v>S07</x:v>
      </x:c>
      <x:c r="B66" s="2" t="str">
        <x:v>S07-CF30</x:v>
      </x:c>
      <x:c r="C66" s="2" t="str">
        <x:v>S07-MU04</x:v>
      </x:c>
      <x:c r="D66" s="2" t="str">
        <x:v>S07-O01</x:v>
      </x:c>
      <x:c r="E66" s="2" t="str">
        <x:v>Prompting</x:v>
      </x:c>
      <x:c r="F66" s="2" t="str">
        <x:v>PT5</x:v>
      </x:c>
      <x:c r="G66" s="2" t="str">
        <x:v>PT5</x:v>
      </x:c>
      <x:c r="H66" s="6" t="str">
        <x:v>与 PT4 类似，但采用默认 JSON 对象输出。</x:v>
      </x:c>
      <x:c r="I66" s="2" t="str">
        <x:v>Yes</x:v>
      </x:c>
      <x:c r="J66" s="2"/>
      <x:c r="K66" s="6" t="str">
        <x:v>Prompt design</x:v>
      </x:c>
      <x:c r="L66" s="2" t="str">
        <x:v>Structured/template prompting</x:v>
      </x:c>
      <x:c r="M66" s="2" t="str">
        <x:v>Structured/template prompting</x:v>
      </x:c>
      <x:c r="N66" s="2" t="str">
        <x:v>Yes</x:v>
      </x:c>
      <x:c r="O66" s="2" t="str">
        <x:v>Partial description</x:v>
      </x:c>
      <x:c r="P66" s="2" t="str">
        <x:v>NR</x:v>
      </x:c>
      <x:c r="Q66" s="2" t="str">
        <x:v>No</x:v>
      </x:c>
      <x:c r="R66" s="2" t="str">
        <x:v>No</x:v>
      </x:c>
      <x:c r="S66" s="2" t="str">
        <x:v>No</x:v>
      </x:c>
      <x:c r="T66" s="2" t="str">
        <x:v>Iterates over each requirement, sending one request per requirement to the LLM.</x:v>
      </x:c>
      <x:c r="U66" s="6" t="str">
        <x:v>p. 5; Table 3</x:v>
      </x:c>
      <x:c r="V66" s="6" t="str">
        <x:v>PT5 RS + DO + ReOP</x:v>
      </x:c>
      <x:c r="W66" s="6" t="str">
        <x:v>Mistral 7B 使用 PT5 提示模板进行实验。</x:v>
      </x:c>
      <x:c r="X66" s="6" t="str">
        <x:v>NA</x:v>
      </x:c>
    </x:row>
    <x:row r="67" ht="76" customHeight="1">
      <x:c r="A67" s="2" t="str">
        <x:v>S07</x:v>
      </x:c>
      <x:c r="B67" s="2" t="str">
        <x:v>S07-CF31</x:v>
      </x:c>
      <x:c r="C67" s="2" t="str">
        <x:v>S07-MU04</x:v>
      </x:c>
      <x:c r="D67" s="2" t="str">
        <x:v>S07-O01</x:v>
      </x:c>
      <x:c r="E67" s="2" t="str">
        <x:v>Prompting</x:v>
      </x:c>
      <x:c r="F67" s="2" t="str">
        <x:v>PT6</x:v>
      </x:c>
      <x:c r="G67" s="2" t="str">
        <x:v>PT6</x:v>
      </x:c>
      <x:c r="H67" s="6" t="str">
        <x:v>采用严格的分节结构，包含语气指导作为角色、指令与目标、任务上下文、规则和输出格式；用户提示仅包含任务数据。JSON 数组输出。</x:v>
      </x:c>
      <x:c r="I67" s="2" t="str">
        <x:v>Yes</x:v>
      </x:c>
      <x:c r="J67" s="2"/>
      <x:c r="K67" s="6" t="str">
        <x:v>Prompt design</x:v>
      </x:c>
      <x:c r="L67" s="2" t="str">
        <x:v>Role/system/persona prompting</x:v>
      </x:c>
      <x:c r="M67" s="2" t="str">
        <x:v>Role/system/persona prompting; Structured/template prompting</x:v>
      </x:c>
      <x:c r="N67" s="2" t="str">
        <x:v>Yes</x:v>
      </x:c>
      <x:c r="O67" s="2" t="str">
        <x:v>Partial description</x:v>
      </x:c>
      <x:c r="P67" s="2" t="str">
        <x:v>NR</x:v>
      </x:c>
      <x:c r="Q67" s="2" t="str">
        <x:v>No</x:v>
      </x:c>
      <x:c r="R67" s="2" t="str">
        <x:v>No</x:v>
      </x:c>
      <x:c r="S67" s="2" t="str">
        <x:v>No</x:v>
      </x:c>
      <x:c r="T67" s="2" t="str">
        <x:v>Iterates over each requirement, sending one request per requirement to the LLM.</x:v>
      </x:c>
      <x:c r="U67" s="6" t="str">
        <x:v>p. 5; Table 3</x:v>
      </x:c>
      <x:c r="V67" s="6" t="str">
        <x:v>PT6 RS + NO + PP: Strict structure using section division of each component. Tone guidelines as role, Instruction and Objectives, Task context, Rules, and Output format. User: Task data</x:v>
      </x:c>
      <x:c r="W67" s="6" t="str">
        <x:v>Mistral 7B 使用 PT6 提示模板进行实验。</x:v>
      </x:c>
      <x:c r="X67" s="6" t="str">
        <x:v>NA</x:v>
      </x:c>
    </x:row>
    <x:row r="68" ht="76" customHeight="1">
      <x:c r="A68" s="2" t="str">
        <x:v>S07</x:v>
      </x:c>
      <x:c r="B68" s="2" t="str">
        <x:v>S07-CF32</x:v>
      </x:c>
      <x:c r="C68" s="2" t="str">
        <x:v>S07-MU04</x:v>
      </x:c>
      <x:c r="D68" s="2" t="str">
        <x:v>S07-O01</x:v>
      </x:c>
      <x:c r="E68" s="2" t="str">
        <x:v>Prompting</x:v>
      </x:c>
      <x:c r="F68" s="2" t="str">
        <x:v>PT7</x:v>
      </x:c>
      <x:c r="G68" s="2" t="str">
        <x:v>PT7</x:v>
      </x:c>
      <x:c r="H68" s="6" t="str">
        <x:v>类似 PT6，但采用默认 JSON 对象输出。</x:v>
      </x:c>
      <x:c r="I68" s="2" t="str">
        <x:v>Yes</x:v>
      </x:c>
      <x:c r="J68" s="2"/>
      <x:c r="K68" s="6" t="str">
        <x:v>Prompt design</x:v>
      </x:c>
      <x:c r="L68" s="2" t="str">
        <x:v>Structured/template prompting</x:v>
      </x:c>
      <x:c r="M68" s="2" t="str">
        <x:v>Structured/template prompting</x:v>
      </x:c>
      <x:c r="N68" s="2" t="str">
        <x:v>Yes</x:v>
      </x:c>
      <x:c r="O68" s="2" t="str">
        <x:v>Partial description</x:v>
      </x:c>
      <x:c r="P68" s="2" t="str">
        <x:v>NR</x:v>
      </x:c>
      <x:c r="Q68" s="2" t="str">
        <x:v>No</x:v>
      </x:c>
      <x:c r="R68" s="2" t="str">
        <x:v>No</x:v>
      </x:c>
      <x:c r="S68" s="2" t="str">
        <x:v>No</x:v>
      </x:c>
      <x:c r="T68" s="2" t="str">
        <x:v>Iterates over each requirement, sending one request per requirement to the LLM.</x:v>
      </x:c>
      <x:c r="U68" s="6" t="str">
        <x:v>p. 5; Table 3</x:v>
      </x:c>
      <x:c r="V68" s="6" t="str">
        <x:v>PT7 RS + DO + PP</x:v>
      </x:c>
      <x:c r="W68" s="6" t="str">
        <x:v>Mistral 7B 使用 PT7 提示模板进行实验。</x:v>
      </x:c>
      <x:c r="X68" s="6" t="str">
        <x:v>NA</x:v>
      </x:c>
    </x:row>
    <x:row r="69" ht="76" customHeight="1">
      <x:c r="A69" s="2" t="str">
        <x:v>S07</x:v>
      </x:c>
      <x:c r="B69" s="2" t="str">
        <x:v>S07-CF33</x:v>
      </x:c>
      <x:c r="C69" s="2" t="str">
        <x:v>S07-MU05</x:v>
      </x:c>
      <x:c r="D69" s="2" t="str">
        <x:v>S07-O01</x:v>
      </x:c>
      <x:c r="E69" s="2" t="str">
        <x:v>Prompting</x:v>
      </x:c>
      <x:c r="F69" s="2" t="str">
        <x:v>BASE</x:v>
      </x:c>
      <x:c r="G69" s="2" t="str">
        <x:v>BASE</x:v>
      </x:c>
      <x:c r="H69" s="6" t="str">
        <x:v>默认提示模板：系统默认角色，用户指令包含任务、上下文、规则和 JSON 对象输出格式。</x:v>
      </x:c>
      <x:c r="I69" s="2" t="str">
        <x:v>Yes</x:v>
      </x:c>
      <x:c r="J69" s="2"/>
      <x:c r="K69" s="6" t="str">
        <x:v>Prompt design</x:v>
      </x:c>
      <x:c r="L69" s="2" t="str">
        <x:v>Structured/template prompting</x:v>
      </x:c>
      <x:c r="M69" s="2" t="str">
        <x:v>Structured/template prompting</x:v>
      </x:c>
      <x:c r="N69" s="2" t="str">
        <x:v>Yes</x:v>
      </x:c>
      <x:c r="O69" s="2" t="str">
        <x:v>Partial description</x:v>
      </x:c>
      <x:c r="P69" s="2" t="str">
        <x:v>NR</x:v>
      </x:c>
      <x:c r="Q69" s="2" t="str">
        <x:v>No</x:v>
      </x:c>
      <x:c r="R69" s="2" t="str">
        <x:v>No</x:v>
      </x:c>
      <x:c r="S69" s="2" t="str">
        <x:v>No</x:v>
      </x:c>
      <x:c r="T69" s="2" t="str">
        <x:v>Iterates over each requirement, sending one request per requirement to the LLM.</x:v>
      </x:c>
      <x:c r="U69" s="6" t="str">
        <x:v>p. 5; Table 3</x:v>
      </x:c>
      <x:c r="V69" s="6" t="str">
        <x:v>BASE DO: System: Default Role. User: Instruction and Objectives, Context information, Rules and Guidelines, and Output format (JSON Object)</x:v>
      </x:c>
      <x:c r="W69" s="6" t="str">
        <x:v>Mixtral 8x7B 使用 BASE 提示模板进行实验。</x:v>
      </x:c>
      <x:c r="X69" s="6" t="str">
        <x:v>NA</x:v>
      </x:c>
    </x:row>
    <x:row r="70" ht="76" customHeight="1">
      <x:c r="A70" s="2" t="str">
        <x:v>S07</x:v>
      </x:c>
      <x:c r="B70" s="2" t="str">
        <x:v>S07-CF34</x:v>
      </x:c>
      <x:c r="C70" s="2" t="str">
        <x:v>S07-MU05</x:v>
      </x:c>
      <x:c r="D70" s="2" t="str">
        <x:v>S07-O01</x:v>
      </x:c>
      <x:c r="E70" s="2" t="str">
        <x:v>Prompting</x:v>
      </x:c>
      <x:c r="F70" s="2" t="str">
        <x:v>PT1</x:v>
      </x:c>
      <x:c r="G70" s="2" t="str">
        <x:v>PT1</x:v>
      </x:c>
      <x:c r="H70" s="6" t="str">
        <x:v>输出格式改为 JSON 数组。</x:v>
      </x:c>
      <x:c r="I70" s="2" t="str">
        <x:v>Yes</x:v>
      </x:c>
      <x:c r="J70" s="2"/>
      <x:c r="K70" s="6" t="str">
        <x:v>Prompt design</x:v>
      </x:c>
      <x:c r="L70" s="2" t="str">
        <x:v>Structured/template prompting</x:v>
      </x:c>
      <x:c r="M70" s="2" t="str">
        <x:v>Structured/template prompting</x:v>
      </x:c>
      <x:c r="N70" s="2" t="str">
        <x:v>Yes</x:v>
      </x:c>
      <x:c r="O70" s="2" t="str">
        <x:v>Partial description</x:v>
      </x:c>
      <x:c r="P70" s="2" t="str">
        <x:v>NR</x:v>
      </x:c>
      <x:c r="Q70" s="2" t="str">
        <x:v>No</x:v>
      </x:c>
      <x:c r="R70" s="2" t="str">
        <x:v>No</x:v>
      </x:c>
      <x:c r="S70" s="2" t="str">
        <x:v>No</x:v>
      </x:c>
      <x:c r="T70" s="2" t="str">
        <x:v>Iterates over each requirement, sending one request per requirement to the LLM.</x:v>
      </x:c>
      <x:c r="U70" s="6" t="str">
        <x:v>p. 5; Table 3</x:v>
      </x:c>
      <x:c r="V70" s="6" t="str">
        <x:v>PT1 NO: System: The output format is changed to a JSON</x:v>
      </x:c>
      <x:c r="W70" s="6" t="str">
        <x:v>Mixtral 8x7B 使用 PT1 提示模板进行实验。</x:v>
      </x:c>
      <x:c r="X70" s="6" t="str">
        <x:v>NA</x:v>
      </x:c>
    </x:row>
    <x:row r="71" ht="76" customHeight="1">
      <x:c r="A71" s="2" t="str">
        <x:v>S07</x:v>
      </x:c>
      <x:c r="B71" s="2" t="str">
        <x:v>S07-CF35</x:v>
      </x:c>
      <x:c r="C71" s="2" t="str">
        <x:v>S07-MU05</x:v>
      </x:c>
      <x:c r="D71" s="2" t="str">
        <x:v>S07-O01</x:v>
      </x:c>
      <x:c r="E71" s="2" t="str">
        <x:v>Prompting</x:v>
      </x:c>
      <x:c r="F71" s="2" t="str">
        <x:v>PT2</x:v>
      </x:c>
      <x:c r="G71" s="2" t="str">
        <x:v>PT2</x:v>
      </x:c>
      <x:c r="H71" s="6" t="str">
        <x:v>更改系统提示角色为任务特定角色，并采用 JSON 数组输出。</x:v>
      </x:c>
      <x:c r="I71" s="2" t="str">
        <x:v>Yes</x:v>
      </x:c>
      <x:c r="J71" s="2"/>
      <x:c r="K71" s="6" t="str">
        <x:v>Prompt design</x:v>
      </x:c>
      <x:c r="L71" s="2" t="str">
        <x:v>Role/system/persona prompting</x:v>
      </x:c>
      <x:c r="M71" s="2" t="str">
        <x:v>Role/system/persona prompting; Structured/template prompting</x:v>
      </x:c>
      <x:c r="N71" s="2" t="str">
        <x:v>Yes</x:v>
      </x:c>
      <x:c r="O71" s="2" t="str">
        <x:v>Partial description</x:v>
      </x:c>
      <x:c r="P71" s="2" t="str">
        <x:v>NR</x:v>
      </x:c>
      <x:c r="Q71" s="2" t="str">
        <x:v>No</x:v>
      </x:c>
      <x:c r="R71" s="2" t="str">
        <x:v>No</x:v>
      </x:c>
      <x:c r="S71" s="2" t="str">
        <x:v>No</x:v>
      </x:c>
      <x:c r="T71" s="2" t="str">
        <x:v>Iterates over each requirement, sending one request per requirement to the LLM.</x:v>
      </x:c>
      <x:c r="U71" s="6" t="str">
        <x:v>p. 5; Table 3</x:v>
      </x:c>
      <x:c r="V71" s="6" t="str">
        <x:v>PT2 NO + RS: Changed from default system prompt role to a task-specific role</x:v>
      </x:c>
      <x:c r="W71" s="6" t="str">
        <x:v>Mixtral 8x7B 使用 PT2 提示模板进行实验。</x:v>
      </x:c>
      <x:c r="X71" s="6" t="str">
        <x:v>NA</x:v>
      </x:c>
    </x:row>
    <x:row r="72" ht="76" customHeight="1">
      <x:c r="A72" s="2" t="str">
        <x:v>S07</x:v>
      </x:c>
      <x:c r="B72" s="2" t="str">
        <x:v>S07-CF36</x:v>
      </x:c>
      <x:c r="C72" s="2" t="str">
        <x:v>S07-MU05</x:v>
      </x:c>
      <x:c r="D72" s="2" t="str">
        <x:v>S07-O01</x:v>
      </x:c>
      <x:c r="E72" s="2" t="str">
        <x:v>Prompting</x:v>
      </x:c>
      <x:c r="F72" s="2" t="str">
        <x:v>PT3</x:v>
      </x:c>
      <x:c r="G72" s="2" t="str">
        <x:v>PT3</x:v>
      </x:c>
      <x:c r="H72" s="6" t="str">
        <x:v>默认 JSON 对象输出，同时采用任务特定角色。</x:v>
      </x:c>
      <x:c r="I72" s="2" t="str">
        <x:v>Yes</x:v>
      </x:c>
      <x:c r="J72" s="2"/>
      <x:c r="K72" s="6" t="str">
        <x:v>Prompt design</x:v>
      </x:c>
      <x:c r="L72" s="2" t="str">
        <x:v>Structured/template prompting</x:v>
      </x:c>
      <x:c r="M72" s="2" t="str">
        <x:v>Structured/template prompting</x:v>
      </x:c>
      <x:c r="N72" s="2" t="str">
        <x:v>Yes</x:v>
      </x:c>
      <x:c r="O72" s="2" t="str">
        <x:v>Partial description</x:v>
      </x:c>
      <x:c r="P72" s="2" t="str">
        <x:v>NR</x:v>
      </x:c>
      <x:c r="Q72" s="2" t="str">
        <x:v>No</x:v>
      </x:c>
      <x:c r="R72" s="2" t="str">
        <x:v>No</x:v>
      </x:c>
      <x:c r="S72" s="2" t="str">
        <x:v>No</x:v>
      </x:c>
      <x:c r="T72" s="2" t="str">
        <x:v>Iterates over each requirement, sending one request per requirement to the LLM.</x:v>
      </x:c>
      <x:c r="U72" s="6" t="str">
        <x:v>p. 5; Table 3</x:v>
      </x:c>
      <x:c r="V72" s="6" t="str">
        <x:v>PT3 DO + RS</x:v>
      </x:c>
      <x:c r="W72" s="6" t="str">
        <x:v>Mixtral 8x7B 使用 PT3 提示模板进行实验。</x:v>
      </x:c>
      <x:c r="X72" s="6" t="str">
        <x:v>NA</x:v>
      </x:c>
    </x:row>
    <x:row r="73" ht="76" customHeight="1">
      <x:c r="A73" s="2" t="str">
        <x:v>S07</x:v>
      </x:c>
      <x:c r="B73" s="2" t="str">
        <x:v>S07-CF37</x:v>
      </x:c>
      <x:c r="C73" s="2" t="str">
        <x:v>S07-MU05</x:v>
      </x:c>
      <x:c r="D73" s="2" t="str">
        <x:v>S07-O01</x:v>
      </x:c>
      <x:c r="E73" s="2" t="str">
        <x:v>Prompting</x:v>
      </x:c>
      <x:c r="F73" s="2" t="str">
        <x:v>PT4</x:v>
      </x:c>
      <x:c r="G73" s="2" t="str">
        <x:v>PT4</x:v>
      </x:c>
      <x:c r="H73" s="6" t="str">
        <x:v>系统提示包含语气指导作为角色、指令、上下文信息、规则和输出格式；用户提示包含任务描述、上下文和数据。采用 JSON 数组输出。</x:v>
      </x:c>
      <x:c r="I73" s="2" t="str">
        <x:v>Yes</x:v>
      </x:c>
      <x:c r="J73" s="2"/>
      <x:c r="K73" s="6" t="str">
        <x:v>Prompt design</x:v>
      </x:c>
      <x:c r="L73" s="2" t="str">
        <x:v>Role/system/persona prompting</x:v>
      </x:c>
      <x:c r="M73" s="2" t="str">
        <x:v>Role/system/persona prompting; Structured/template prompting</x:v>
      </x:c>
      <x:c r="N73" s="2" t="str">
        <x:v>Yes</x:v>
      </x:c>
      <x:c r="O73" s="2" t="str">
        <x:v>Full prompt reported</x:v>
      </x:c>
      <x:c r="P73" s="2" t="str">
        <x:v>NR</x:v>
      </x:c>
      <x:c r="Q73" s="2" t="str">
        <x:v>No</x:v>
      </x:c>
      <x:c r="R73" s="2" t="str">
        <x:v>No</x:v>
      </x:c>
      <x:c r="S73" s="2" t="str">
        <x:v>No</x:v>
      </x:c>
      <x:c r="T73" s="2" t="str">
        <x:v>Iterates over each requirement, sending one request per requirement to the LLM.</x:v>
      </x:c>
      <x:c r="U73" s="6" t="str">
        <x:v>p. 5; Table 3</x:v>
      </x:c>
      <x:c r="V73" s="6" t="str">
        <x:v>RS + NO + ReOP: System: Tone guidelines as role, Instructions, Context information, Rules and Guidelines,</x:v>
      </x:c>
      <x:c r="W73" s="6" t="str">
        <x:v>Mixtral 8x7B 使用 PT4 提示模板进行实验。</x:v>
      </x:c>
      <x:c r="X73" s="6" t="str">
        <x:v>Full prompt example on p.5, Section 4.3.</x:v>
      </x:c>
    </x:row>
    <x:row r="74" ht="76" customHeight="1">
      <x:c r="A74" s="2" t="str">
        <x:v>S07</x:v>
      </x:c>
      <x:c r="B74" s="2" t="str">
        <x:v>S07-CF38</x:v>
      </x:c>
      <x:c r="C74" s="2" t="str">
        <x:v>S07-MU05</x:v>
      </x:c>
      <x:c r="D74" s="2" t="str">
        <x:v>S07-O01</x:v>
      </x:c>
      <x:c r="E74" s="2" t="str">
        <x:v>Prompting</x:v>
      </x:c>
      <x:c r="F74" s="2" t="str">
        <x:v>PT5</x:v>
      </x:c>
      <x:c r="G74" s="2" t="str">
        <x:v>PT5</x:v>
      </x:c>
      <x:c r="H74" s="6" t="str">
        <x:v>与 PT4 类似，但采用默认 JSON 对象输出。</x:v>
      </x:c>
      <x:c r="I74" s="2" t="str">
        <x:v>Yes</x:v>
      </x:c>
      <x:c r="J74" s="2"/>
      <x:c r="K74" s="6" t="str">
        <x:v>Prompt design</x:v>
      </x:c>
      <x:c r="L74" s="2" t="str">
        <x:v>Structured/template prompting</x:v>
      </x:c>
      <x:c r="M74" s="2" t="str">
        <x:v>Structured/template prompting</x:v>
      </x:c>
      <x:c r="N74" s="2" t="str">
        <x:v>Yes</x:v>
      </x:c>
      <x:c r="O74" s="2" t="str">
        <x:v>Partial description</x:v>
      </x:c>
      <x:c r="P74" s="2" t="str">
        <x:v>NR</x:v>
      </x:c>
      <x:c r="Q74" s="2" t="str">
        <x:v>No</x:v>
      </x:c>
      <x:c r="R74" s="2" t="str">
        <x:v>No</x:v>
      </x:c>
      <x:c r="S74" s="2" t="str">
        <x:v>No</x:v>
      </x:c>
      <x:c r="T74" s="2" t="str">
        <x:v>Iterates over each requirement, sending one request per requirement to the LLM.</x:v>
      </x:c>
      <x:c r="U74" s="6" t="str">
        <x:v>p. 5; Table 3</x:v>
      </x:c>
      <x:c r="V74" s="6" t="str">
        <x:v>PT5 RS + DO + ReOP</x:v>
      </x:c>
      <x:c r="W74" s="6" t="str">
        <x:v>Mixtral 8x7B 使用 PT5 提示模板进行实验。</x:v>
      </x:c>
      <x:c r="X74" s="6" t="str">
        <x:v>NA</x:v>
      </x:c>
    </x:row>
    <x:row r="75" ht="76" customHeight="1">
      <x:c r="A75" s="2" t="str">
        <x:v>S07</x:v>
      </x:c>
      <x:c r="B75" s="2" t="str">
        <x:v>S07-CF39</x:v>
      </x:c>
      <x:c r="C75" s="2" t="str">
        <x:v>S07-MU05</x:v>
      </x:c>
      <x:c r="D75" s="2" t="str">
        <x:v>S07-O01</x:v>
      </x:c>
      <x:c r="E75" s="2" t="str">
        <x:v>Prompting</x:v>
      </x:c>
      <x:c r="F75" s="2" t="str">
        <x:v>PT6</x:v>
      </x:c>
      <x:c r="G75" s="2" t="str">
        <x:v>PT6</x:v>
      </x:c>
      <x:c r="H75" s="6" t="str">
        <x:v>采用严格的分节结构，包含语气指导作为角色、指令与目标、任务上下文、规则和输出格式；用户提示仅包含任务数据。JSON 数组输出。</x:v>
      </x:c>
      <x:c r="I75" s="2" t="str">
        <x:v>Yes</x:v>
      </x:c>
      <x:c r="J75" s="2"/>
      <x:c r="K75" s="6" t="str">
        <x:v>Prompt design</x:v>
      </x:c>
      <x:c r="L75" s="2" t="str">
        <x:v>Role/system/persona prompting</x:v>
      </x:c>
      <x:c r="M75" s="2" t="str">
        <x:v>Role/system/persona prompting; Structured/template prompting</x:v>
      </x:c>
      <x:c r="N75" s="2" t="str">
        <x:v>Yes</x:v>
      </x:c>
      <x:c r="O75" s="2" t="str">
        <x:v>Partial description</x:v>
      </x:c>
      <x:c r="P75" s="2" t="str">
        <x:v>NR</x:v>
      </x:c>
      <x:c r="Q75" s="2" t="str">
        <x:v>No</x:v>
      </x:c>
      <x:c r="R75" s="2" t="str">
        <x:v>No</x:v>
      </x:c>
      <x:c r="S75" s="2" t="str">
        <x:v>No</x:v>
      </x:c>
      <x:c r="T75" s="2" t="str">
        <x:v>Iterates over each requirement, sending one request per requirement to the LLM.</x:v>
      </x:c>
      <x:c r="U75" s="6" t="str">
        <x:v>p. 5; Table 3</x:v>
      </x:c>
      <x:c r="V75" s="6" t="str">
        <x:v>PT6 RS + NO + PP: Strict structure using section division of each component. Tone guidelines as role, Instruction and Objectives, Task context, Rules, and Output format. User: Task data</x:v>
      </x:c>
      <x:c r="W75" s="6" t="str">
        <x:v>Mixtral 8x7B 使用 PT6 提示模板进行实验。</x:v>
      </x:c>
      <x:c r="X75" s="6" t="str">
        <x:v>NA</x:v>
      </x:c>
    </x:row>
    <x:row r="76" ht="76" customHeight="1">
      <x:c r="A76" s="2" t="str">
        <x:v>S07</x:v>
      </x:c>
      <x:c r="B76" s="2" t="str">
        <x:v>S07-CF40</x:v>
      </x:c>
      <x:c r="C76" s="2" t="str">
        <x:v>S07-MU05</x:v>
      </x:c>
      <x:c r="D76" s="2" t="str">
        <x:v>S07-O01</x:v>
      </x:c>
      <x:c r="E76" s="2" t="str">
        <x:v>Prompting</x:v>
      </x:c>
      <x:c r="F76" s="2" t="str">
        <x:v>PT7</x:v>
      </x:c>
      <x:c r="G76" s="2" t="str">
        <x:v>PT7</x:v>
      </x:c>
      <x:c r="H76" s="6" t="str">
        <x:v>类似 PT6，但采用默认 JSON 对象输出。</x:v>
      </x:c>
      <x:c r="I76" s="2" t="str">
        <x:v>Yes</x:v>
      </x:c>
      <x:c r="J76" s="2"/>
      <x:c r="K76" s="6" t="str">
        <x:v>Prompt design</x:v>
      </x:c>
      <x:c r="L76" s="2" t="str">
        <x:v>Structured/template prompting</x:v>
      </x:c>
      <x:c r="M76" s="2" t="str">
        <x:v>Structured/template prompting</x:v>
      </x:c>
      <x:c r="N76" s="2" t="str">
        <x:v>Yes</x:v>
      </x:c>
      <x:c r="O76" s="2" t="str">
        <x:v>Partial description</x:v>
      </x:c>
      <x:c r="P76" s="2" t="str">
        <x:v>NR</x:v>
      </x:c>
      <x:c r="Q76" s="2" t="str">
        <x:v>No</x:v>
      </x:c>
      <x:c r="R76" s="2" t="str">
        <x:v>No</x:v>
      </x:c>
      <x:c r="S76" s="2" t="str">
        <x:v>No</x:v>
      </x:c>
      <x:c r="T76" s="2" t="str">
        <x:v>Iterates over each requirement, sending one request per requirement to the LLM.</x:v>
      </x:c>
      <x:c r="U76" s="6" t="str">
        <x:v>p. 5; Table 3</x:v>
      </x:c>
      <x:c r="V76" s="6" t="str">
        <x:v>PT7 RS + DO + PP</x:v>
      </x:c>
      <x:c r="W76" s="6" t="str">
        <x:v>Mixtral 8x7B 使用 PT7 提示模板进行实验。</x:v>
      </x:c>
      <x:c r="X76" s="6" t="str">
        <x:v>NA</x:v>
      </x:c>
    </x:row>
    <x:row r="77" ht="76" customHeight="1">
      <x:c r="A77" s="2" t="str">
        <x:v>S08</x:v>
      </x:c>
      <x:c r="B77" s="2" t="str">
        <x:v>S08-CF01</x:v>
      </x:c>
      <x:c r="C77" s="2" t="str">
        <x:v>S08-MU03</x:v>
      </x:c>
      <x:c r="D77" s="2" t="str">
        <x:v>S08-O01</x:v>
      </x:c>
      <x:c r="E77" s="2" t="str">
        <x:v>Prompting</x:v>
      </x:c>
      <x:c r="F77" s="2" t="str">
        <x:v>zero-shot prompting (zS)</x:v>
      </x:c>
      <x:c r="G77" s="2" t="str">
        <x:v>zS</x:v>
      </x:c>
      <x:c r="H77" s="6" t="str">
        <x:v>直接要求模型回答是否覆盖，无解释。</x:v>
      </x:c>
      <x:c r="I77" s="2" t="str">
        <x:v>Yes</x:v>
      </x:c>
      <x:c r="J77" s="2"/>
      <x:c r="K77" s="6" t="str">
        <x:v>Prompt design</x:v>
      </x:c>
      <x:c r="L77" s="2" t="str">
        <x:v>Few-shot/in-context examples</x:v>
      </x:c>
      <x:c r="M77" s="2" t="str">
        <x:v>Few-shot/in-context examples; Retrieved context; Zero-shot prompting</x:v>
      </x:c>
      <x:c r="N77" s="2" t="str">
        <x:v>Yes</x:v>
      </x:c>
      <x:c r="O77" s="2" t="str">
        <x:v>Template reported</x:v>
      </x:c>
      <x:c r="P77" s="2" t="str">
        <x:v>0</x:v>
      </x:c>
      <x:c r="Q77" s="2" t="str">
        <x:v>No</x:v>
      </x:c>
      <x:c r="R77" s="2" t="str">
        <x:v>No</x:v>
      </x:c>
      <x:c r="S77" s="2" t="str">
        <x:v>No</x:v>
      </x:c>
      <x:c r="T77" s="2" t="str">
        <x:v>NA</x:v>
      </x:c>
      <x:c r="U77" s="6" t="str">
        <x:v>p. 4; Figure 2</x:v>
      </x:c>
      <x:c r="V77"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x:v>
      </x:c>
      <x:c r="W77" s="6" t="str">
        <x:v>zS提示模板。</x:v>
      </x:c>
      <x:c r="X77" s="6" t="str">
        <x:v>NA</x:v>
      </x:c>
    </x:row>
    <x:row r="78" ht="76" customHeight="1">
      <x:c r="A78" s="2" t="str">
        <x:v>S08</x:v>
      </x:c>
      <x:c r="B78" s="2" t="str">
        <x:v>S08-CF02</x:v>
      </x:c>
      <x:c r="C78" s="2" t="str">
        <x:v>S08-MU07</x:v>
      </x:c>
      <x:c r="D78" s="2" t="str">
        <x:v>S08-O01</x:v>
      </x:c>
      <x:c r="E78" s="2" t="str">
        <x:v>Prompting</x:v>
      </x:c>
      <x:c r="F78" s="2" t="str">
        <x:v>zero-shot prompting (zS)</x:v>
      </x:c>
      <x:c r="G78" s="2" t="str">
        <x:v>zS</x:v>
      </x:c>
      <x:c r="H78" s="6" t="str">
        <x:v>直接要求模型回答是否覆盖，无解释。</x:v>
      </x:c>
      <x:c r="I78" s="2" t="str">
        <x:v>Yes</x:v>
      </x:c>
      <x:c r="J78" s="2"/>
      <x:c r="K78" s="6" t="str">
        <x:v>Prompt design</x:v>
      </x:c>
      <x:c r="L78" s="2" t="str">
        <x:v>Few-shot/in-context examples</x:v>
      </x:c>
      <x:c r="M78" s="2" t="str">
        <x:v>Few-shot/in-context examples; Retrieved context; Zero-shot prompting</x:v>
      </x:c>
      <x:c r="N78" s="2" t="str">
        <x:v>Yes</x:v>
      </x:c>
      <x:c r="O78" s="2" t="str">
        <x:v>Template reported</x:v>
      </x:c>
      <x:c r="P78" s="2" t="str">
        <x:v>0</x:v>
      </x:c>
      <x:c r="Q78" s="2" t="str">
        <x:v>No</x:v>
      </x:c>
      <x:c r="R78" s="2" t="str">
        <x:v>No</x:v>
      </x:c>
      <x:c r="S78" s="2" t="str">
        <x:v>No</x:v>
      </x:c>
      <x:c r="T78" s="2" t="str">
        <x:v>NA</x:v>
      </x:c>
      <x:c r="U78" s="6" t="str">
        <x:v>p. 4; Figure 2</x:v>
      </x:c>
      <x:c r="V78"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x:v>
      </x:c>
      <x:c r="W78" s="6" t="str">
        <x:v>zS提示模板。</x:v>
      </x:c>
      <x:c r="X78" s="6" t="str">
        <x:v>NA</x:v>
      </x:c>
    </x:row>
    <x:row r="79" ht="76" customHeight="1">
      <x:c r="A79" s="2" t="str">
        <x:v>S08</x:v>
      </x:c>
      <x:c r="B79" s="2" t="str">
        <x:v>S08-CF03</x:v>
      </x:c>
      <x:c r="C79" s="2" t="str">
        <x:v>S08-MU03</x:v>
      </x:c>
      <x:c r="D79" s="2" t="str">
        <x:v>S08-O02</x:v>
      </x:c>
      <x:c r="E79" s="2" t="str">
        <x:v>Prompting</x:v>
      </x:c>
      <x:c r="F79" s="2" t="str">
        <x:v>zero-shot with explanation (zS+expl.)</x:v>
      </x:c>
      <x:c r="G79" s="2" t="str">
        <x:v>zS+expl.</x:v>
      </x:c>
      <x:c r="H79" s="6" t="str">
        <x:v>要求模型回答是否覆盖并附10词解释。</x:v>
      </x:c>
      <x:c r="I79" s="2" t="str">
        <x:v>Yes</x:v>
      </x:c>
      <x:c r="J79" s="2"/>
      <x:c r="K79" s="6" t="str">
        <x:v>Prompt design</x:v>
      </x:c>
      <x:c r="L79" s="2" t="str">
        <x:v>Few-shot/in-context examples</x:v>
      </x:c>
      <x:c r="M79" s="2" t="str">
        <x:v>Few-shot/in-context examples; Retrieved context; Zero-shot prompting</x:v>
      </x:c>
      <x:c r="N79" s="2" t="str">
        <x:v>Yes</x:v>
      </x:c>
      <x:c r="O79" s="2" t="str">
        <x:v>Template reported</x:v>
      </x:c>
      <x:c r="P79" s="2" t="str">
        <x:v>0</x:v>
      </x:c>
      <x:c r="Q79" s="2" t="str">
        <x:v>No</x:v>
      </x:c>
      <x:c r="R79" s="2" t="str">
        <x:v>No</x:v>
      </x:c>
      <x:c r="S79" s="2" t="str">
        <x:v>No</x:v>
      </x:c>
      <x:c r="T79" s="2" t="str">
        <x:v>NA</x:v>
      </x:c>
      <x:c r="U79" s="6" t="str">
        <x:v>p. 4; Figure 2</x:v>
      </x:c>
      <x:c r="V79"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Explain in 10 words your answer.</x:v>
      </x:c>
      <x:c r="W79" s="6" t="str">
        <x:v>zS+expl.提示模板，要求10词解释。</x:v>
      </x:c>
      <x:c r="X79" s="6" t="str">
        <x:v>NA</x:v>
      </x:c>
    </x:row>
    <x:row r="80" ht="76" customHeight="1">
      <x:c r="A80" s="2" t="str">
        <x:v>S08</x:v>
      </x:c>
      <x:c r="B80" s="2" t="str">
        <x:v>S08-CF04</x:v>
      </x:c>
      <x:c r="C80" s="2" t="str">
        <x:v>S08-MU07</x:v>
      </x:c>
      <x:c r="D80" s="2" t="str">
        <x:v>S08-O02</x:v>
      </x:c>
      <x:c r="E80" s="2" t="str">
        <x:v>Prompting</x:v>
      </x:c>
      <x:c r="F80" s="2" t="str">
        <x:v>zero-shot with explanation (zS+expl.)</x:v>
      </x:c>
      <x:c r="G80" s="2" t="str">
        <x:v>zS+expl.</x:v>
      </x:c>
      <x:c r="H80" s="6" t="str">
        <x:v>要求模型回答是否覆盖并附10词解释。</x:v>
      </x:c>
      <x:c r="I80" s="2" t="str">
        <x:v>Yes</x:v>
      </x:c>
      <x:c r="J80" s="2"/>
      <x:c r="K80" s="6" t="str">
        <x:v>Prompt design</x:v>
      </x:c>
      <x:c r="L80" s="2" t="str">
        <x:v>Few-shot/in-context examples</x:v>
      </x:c>
      <x:c r="M80" s="2" t="str">
        <x:v>Few-shot/in-context examples; Retrieved context; Zero-shot prompting</x:v>
      </x:c>
      <x:c r="N80" s="2" t="str">
        <x:v>Yes</x:v>
      </x:c>
      <x:c r="O80" s="2" t="str">
        <x:v>Template reported</x:v>
      </x:c>
      <x:c r="P80" s="2" t="str">
        <x:v>0</x:v>
      </x:c>
      <x:c r="Q80" s="2" t="str">
        <x:v>No</x:v>
      </x:c>
      <x:c r="R80" s="2" t="str">
        <x:v>No</x:v>
      </x:c>
      <x:c r="S80" s="2" t="str">
        <x:v>No</x:v>
      </x:c>
      <x:c r="T80" s="2" t="str">
        <x:v>NA</x:v>
      </x:c>
      <x:c r="U80" s="6" t="str">
        <x:v>p. 4; Figure 2</x:v>
      </x:c>
      <x:c r="V80"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Explain in 10 words your answer.</x:v>
      </x:c>
      <x:c r="W80" s="6" t="str">
        <x:v>zS+expl.提示模板，要求10词解释。</x:v>
      </x:c>
      <x:c r="X80" s="6" t="str">
        <x:v>NA</x:v>
      </x:c>
    </x:row>
    <x:row r="81" ht="76" customHeight="1">
      <x:c r="A81" s="2" t="str">
        <x:v>S08</x:v>
      </x:c>
      <x:c r="B81" s="2" t="str">
        <x:v>S08-CF05</x:v>
      </x:c>
      <x:c r="C81" s="2" t="str">
        <x:v>S08-MU07</x:v>
      </x:c>
      <x:c r="D81" s="2" t="str">
        <x:v>S08-O03</x:v>
      </x:c>
      <x:c r="E81" s="2" t="str">
        <x:v>Prompting</x:v>
      </x:c>
      <x:c r="F81" s="2" t="str">
        <x:v>zero-shot with conditional explanation (zS+expl2.)</x:v>
      </x:c>
      <x:c r="G81" s="2" t="str">
        <x:v>zS+expl2.</x:v>
      </x:c>
      <x:c r="H81" s="6" t="str">
        <x:v>仅在回答为否时要求10词解释。</x:v>
      </x:c>
      <x:c r="I81" s="2" t="str">
        <x:v>Yes</x:v>
      </x:c>
      <x:c r="J81" s="2"/>
      <x:c r="K81" s="6" t="str">
        <x:v>Prompt design</x:v>
      </x:c>
      <x:c r="L81" s="2" t="str">
        <x:v>Few-shot/in-context examples</x:v>
      </x:c>
      <x:c r="M81" s="2" t="str">
        <x:v>Few-shot/in-context examples; Retrieved context; Zero-shot prompting</x:v>
      </x:c>
      <x:c r="N81" s="2" t="str">
        <x:v>Yes</x:v>
      </x:c>
      <x:c r="O81" s="2" t="str">
        <x:v>Template reported</x:v>
      </x:c>
      <x:c r="P81" s="2" t="str">
        <x:v>0</x:v>
      </x:c>
      <x:c r="Q81" s="2" t="str">
        <x:v>No</x:v>
      </x:c>
      <x:c r="R81" s="2" t="str">
        <x:v>No</x:v>
      </x:c>
      <x:c r="S81" s="2" t="str">
        <x:v>No</x:v>
      </x:c>
      <x:c r="T81" s="2" t="str">
        <x:v>NA</x:v>
      </x:c>
      <x:c r="U81" s="6" t="str">
        <x:v>p. 4; Figure 2</x:v>
      </x:c>
      <x:c r="V81"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If the answer is no, explain in 10 words your answer.</x:v>
      </x:c>
      <x:c r="W81" s="6" t="str">
        <x:v>zS+expl2.提示模板，条件性解释。</x:v>
      </x:c>
      <x:c r="X81" s="6" t="str">
        <x:v>NA</x:v>
      </x:c>
    </x:row>
    <x:row r="82" ht="76" customHeight="1">
      <x:c r="A82" s="2" t="str">
        <x:v>S08</x:v>
      </x:c>
      <x:c r="B82" s="2" t="str">
        <x:v>S08-CF06</x:v>
      </x:c>
      <x:c r="C82" s="2" t="str">
        <x:v>S08-MU03</x:v>
      </x:c>
      <x:c r="D82" s="2" t="str">
        <x:v>S08-O04</x:v>
      </x:c>
      <x:c r="E82" s="2" t="str">
        <x:v>Prompting</x:v>
      </x:c>
      <x:c r="F82" s="2" t="str">
        <x:v>Chain-of-Thought (CoT)</x:v>
      </x:c>
      <x:c r="G82" s="2" t="str">
        <x:v>CoT</x:v>
      </x:c>
      <x:c r="H82" s="6" t="str">
        <x:v>逐步推理：识别关键元素、匹配、高亮缺口、推断隐式覆盖、结论。</x:v>
      </x:c>
      <x:c r="I82" s="2" t="str">
        <x:v>Yes</x:v>
      </x:c>
      <x:c r="J82" s="2"/>
      <x:c r="K82" s="6" t="str">
        <x:v>Prompt design</x:v>
      </x:c>
      <x:c r="L82" s="2" t="str">
        <x:v>Reasoning elicitation</x:v>
      </x:c>
      <x:c r="M82" s="2" t="str">
        <x:v>Reasoning elicitation; Retrieved context</x:v>
      </x:c>
      <x:c r="N82" s="2" t="str">
        <x:v>Yes</x:v>
      </x:c>
      <x:c r="O82" s="2" t="str">
        <x:v>Template reported</x:v>
      </x:c>
      <x:c r="P82" s="2" t="str">
        <x:v>0</x:v>
      </x:c>
      <x:c r="Q82" s="2" t="str">
        <x:v>No</x:v>
      </x:c>
      <x:c r="R82" s="2" t="str">
        <x:v>No</x:v>
      </x:c>
      <x:c r="S82" s="2" t="str">
        <x:v>No</x:v>
      </x:c>
      <x:c r="T82" s="2" t="str">
        <x:v>NA</x:v>
      </x:c>
      <x:c r="U82" s="6" t="str">
        <x:v>p. 4; Figure 2</x:v>
      </x:c>
      <x:c r="V82" s="6" t="str">
        <x:v>Given the high-level requirement ``high_level_text``, and the detailed low-level requirements ``low_level_text_list``, let's think step by step: identify the key elements, match them with the low-level requirements highlight any gaps, infer implicit coverage conclude with full coverage or not followed by a Yes or No with a brief rationale in about 10 words.</x:v>
      </x:c>
      <x:c r="W82" s="6" t="str">
        <x:v>CoT提示模板，引导模型逐步推理。</x:v>
      </x:c>
      <x:c r="X82" s="6" t="str">
        <x:v>NA</x:v>
      </x:c>
    </x:row>
    <x:row r="83" ht="76" customHeight="1">
      <x:c r="A83" s="2" t="str">
        <x:v>S08</x:v>
      </x:c>
      <x:c r="B83" s="2" t="str">
        <x:v>S08-CF07</x:v>
      </x:c>
      <x:c r="C83" s="2" t="str">
        <x:v>S08-MU07</x:v>
      </x:c>
      <x:c r="D83" s="2" t="str">
        <x:v>S08-O04</x:v>
      </x:c>
      <x:c r="E83" s="2" t="str">
        <x:v>Prompting</x:v>
      </x:c>
      <x:c r="F83" s="2" t="str">
        <x:v>Chain-of-Thought (CoT)</x:v>
      </x:c>
      <x:c r="G83" s="2" t="str">
        <x:v>CoT</x:v>
      </x:c>
      <x:c r="H83" s="6" t="str">
        <x:v>逐步推理：识别关键元素、匹配、高亮缺口、推断隐式覆盖、结论。</x:v>
      </x:c>
      <x:c r="I83" s="2" t="str">
        <x:v>Yes</x:v>
      </x:c>
      <x:c r="J83" s="2"/>
      <x:c r="K83" s="6" t="str">
        <x:v>Prompt design</x:v>
      </x:c>
      <x:c r="L83" s="2" t="str">
        <x:v>Reasoning elicitation</x:v>
      </x:c>
      <x:c r="M83" s="2" t="str">
        <x:v>Reasoning elicitation; Retrieved context</x:v>
      </x:c>
      <x:c r="N83" s="2" t="str">
        <x:v>Yes</x:v>
      </x:c>
      <x:c r="O83" s="2" t="str">
        <x:v>Template reported</x:v>
      </x:c>
      <x:c r="P83" s="2" t="str">
        <x:v>0</x:v>
      </x:c>
      <x:c r="Q83" s="2" t="str">
        <x:v>No</x:v>
      </x:c>
      <x:c r="R83" s="2" t="str">
        <x:v>No</x:v>
      </x:c>
      <x:c r="S83" s="2" t="str">
        <x:v>No</x:v>
      </x:c>
      <x:c r="T83" s="2" t="str">
        <x:v>NA</x:v>
      </x:c>
      <x:c r="U83" s="6" t="str">
        <x:v>p. 4; Figure 2</x:v>
      </x:c>
      <x:c r="V83" s="6" t="str">
        <x:v>Given the high-level requirement ``high_level_text``, and the detailed low-level requirements ``low_level_text_list``, let's think step by step: identify the key elements, match them with the low-level requirements highlight any gaps, infer implicit coverage conclude with full coverage or not followed by a Yes or No with a brief rationale in about 10 words.</x:v>
      </x:c>
      <x:c r="W83" s="6" t="str">
        <x:v>CoT提示模板，引导模型逐步推理。</x:v>
      </x:c>
      <x:c r="X83" s="6" t="str">
        <x:v>NA</x:v>
      </x:c>
    </x:row>
    <x:row r="84" ht="76" customHeight="1">
      <x:c r="A84" s="2" t="str">
        <x:v>S09</x:v>
      </x:c>
      <x:c r="B84" s="2" t="str">
        <x:v>S09-CF01</x:v>
      </x:c>
      <x:c r="C84" s="2" t="str">
        <x:v>S09-MU01</x:v>
      </x:c>
      <x:c r="D84" s="2" t="str">
        <x:v>S09-O01</x:v>
      </x:c>
      <x:c r="E84" s="2" t="str">
        <x:v>Prompting</x:v>
      </x:c>
      <x:c r="F84" s="2" t="str">
        <x:v>structured prompt P(r, c)</x:v>
      </x:c>
      <x:c r="G84" s="2" t="str">
        <x:v>P1</x:v>
      </x:c>
      <x:c r="H84" s="6" t="str">
        <x:v>结构化提示词要求LLM同时评估四个标准（需求覆盖、实现特异性、术语对齐、无矛盾）以生成链接决策。</x:v>
      </x:c>
      <x:c r="I84" s="2" t="str">
        <x:v>Yes</x:v>
      </x:c>
      <x:c r="J84" s="2"/>
      <x:c r="K84" s="6" t="str">
        <x:v>Prompt design</x:v>
      </x:c>
      <x:c r="L84" s="2" t="str">
        <x:v>Reasoning elicitation</x:v>
      </x:c>
      <x:c r="M84" s="2" t="str">
        <x:v>Reasoning elicitation; Retrieved context; Structured/template prompting</x:v>
      </x:c>
      <x:c r="N84" s="2" t="str">
        <x:v>No</x:v>
      </x:c>
      <x:c r="O84" s="2" t="str">
        <x:v>Partial description</x:v>
      </x:c>
      <x:c r="P84" s="2" t="str">
        <x:v>NA</x:v>
      </x:c>
      <x:c r="Q84" s="2" t="str">
        <x:v>No</x:v>
      </x:c>
      <x:c r="R84" s="2" t="str">
        <x:v>No</x:v>
      </x:c>
      <x:c r="S84" s="2" t="str">
        <x:v>No</x:v>
      </x:c>
      <x:c r="T84" s="2" t="str">
        <x:v>NR</x:v>
      </x:c>
      <x:c r="U84" s="6" t="str">
        <x:v>p. 3; Section III-D</x:v>
      </x:c>
      <x:c r="V84" s="6" t="str">
        <x:v>a structured prompt P (r, c) directs the LLM to evaluate four reasoning criteria jointly: requirement coverage, assessing whether the component fulfills the functional intent of the requirement; implementation specificity, assessing whether the component description indicates concrete related functionality; terminology alignment, assessing whether the artifacts share meaningful domain terminology; and absence of contradiction, assessing whether the component suggests unrelated or conflicting responsibilities.</x:v>
      </x:c>
      <x:c r="W84" s="6" t="str">
        <x:v>提示词描述了评估维度，但未公开完整模板，属于部分描述。</x:v>
      </x:c>
      <x:c r="X84" s="6" t="str">
        <x:v>NA</x:v>
      </x:c>
    </x:row>
    <x:row r="85" ht="76" customHeight="1">
      <x:c r="A85" s="2" t="str">
        <x:v>S09</x:v>
      </x:c>
      <x:c r="B85" s="2" t="str">
        <x:v>S09-CF02</x:v>
      </x:c>
      <x:c r="C85" s="2" t="str">
        <x:v>S09-MU01</x:v>
      </x:c>
      <x:c r="D85" s="2" t="str">
        <x:v>S09-O01</x:v>
      </x:c>
      <x:c r="E85" s="2" t="str">
        <x:v>Context construction</x:v>
      </x:c>
      <x:c r="F85" s="2" t="str">
        <x:v>artifact pair context</x:v>
      </x:c>
      <x:c r="G85" s="2" t="str">
        <x:v>C1</x:v>
      </x:c>
      <x:c r="H85" s="6" t="str">
        <x:v>将候选工件对的文本描述作为上下文直接放入提示词，供LLM分析。</x:v>
      </x:c>
      <x:c r="I85" s="2" t="str">
        <x:v>Yes</x:v>
      </x:c>
      <x:c r="J85" s="2"/>
      <x:c r="K85" s="6" t="str">
        <x:v>Input and context construction</x:v>
      </x:c>
      <x:c r="L85" s="2" t="str">
        <x:v>Artifact packaging and scope</x:v>
      </x:c>
      <x:c r="M85" s="2" t="str">
        <x:v>Reasoning elicitation; Structured/template prompting</x:v>
      </x:c>
      <x:c r="N85" s="2" t="str">
        <x:v>NA</x:v>
      </x:c>
      <x:c r="O85" s="2" t="str">
        <x:v>NA</x:v>
      </x:c>
      <x:c r="P85" s="2" t="str">
        <x:v>NA</x:v>
      </x:c>
      <x:c r="Q85" s="2" t="str">
        <x:v>NA</x:v>
      </x:c>
      <x:c r="R85" s="2" t="str">
        <x:v>NA</x:v>
      </x:c>
      <x:c r="S85" s="2" t="str">
        <x:v>NA</x:v>
      </x:c>
      <x:c r="T85" s="2" t="str">
        <x:v>NA</x:v>
      </x:c>
      <x:c r="U85" s="6" t="str">
        <x:v>p. 3; Section III-D</x:v>
      </x:c>
      <x:c r="V85" s="6" t="str">
        <x:v>For each candidate pair (r, c) with c ∈ Cr , a structured prompt P (r, c) directs the LLM to evaluate four reasoning criteria jointly</x:v>
      </x:c>
      <x:c r="W85" s="6" t="str">
        <x:v>提示词中包含了具体的工件对描述，属于上下文构建。</x:v>
      </x:c>
      <x:c r="X85" s="6" t="str">
        <x:v>NA</x:v>
      </x:c>
    </x:row>
    <x:row r="86" ht="76" customHeight="1">
      <x:c r="A86" s="2" t="str">
        <x:v>S09</x:v>
      </x:c>
      <x:c r="B86" s="2" t="str">
        <x:v>S09-CF03</x:v>
      </x:c>
      <x:c r="C86" s="2" t="str">
        <x:v>S09-MU01</x:v>
      </x:c>
      <x:c r="D86" s="2" t="str">
        <x:v>S09-O01</x:v>
      </x:c>
      <x:c r="E86" s="2" t="str">
        <x:v>Output constraint</x:v>
      </x:c>
      <x:c r="F86" s="2" t="str">
        <x:v>structured output format</x:v>
      </x:c>
      <x:c r="G86" s="2" t="str">
        <x:v>O1</x:v>
      </x:c>
      <x:c r="H86" s="6" t="str">
        <x:v>要求LLM输出结构化结果：二值链接决策、0-1置信度分数和自然语言解释。</x:v>
      </x:c>
      <x:c r="I86" s="2" t="str">
        <x:v>Yes</x:v>
      </x:c>
      <x:c r="J86" s="2"/>
      <x:c r="K86" s="6" t="str">
        <x:v>Output specification</x:v>
      </x:c>
      <x:c r="L86" s="2" t="str">
        <x:v>Structured output format</x:v>
      </x:c>
      <x:c r="M86" s="2" t="str">
        <x:v>Structured/template prompting</x:v>
      </x:c>
      <x:c r="N86" s="2" t="str">
        <x:v>NA</x:v>
      </x:c>
      <x:c r="O86" s="2" t="str">
        <x:v>NA</x:v>
      </x:c>
      <x:c r="P86" s="2" t="str">
        <x:v>NA</x:v>
      </x:c>
      <x:c r="Q86" s="2" t="str">
        <x:v>NA</x:v>
      </x:c>
      <x:c r="R86" s="2" t="str">
        <x:v>NA</x:v>
      </x:c>
      <x:c r="S86" s="2" t="str">
        <x:v>NA</x:v>
      </x:c>
      <x:c r="T86" s="2" t="str">
        <x:v>NA</x:v>
      </x:c>
      <x:c r="U86" s="6" t="str">
        <x:v>p. 3; Section III-D</x:v>
      </x:c>
      <x:c r="V86" s="6" t="str">
        <x:v>where yrc ∈ 0, 1 is the link decision, crc ∈ [0, 1] is the confidence score, and jrc is a natural language justification.</x:v>
      </x:c>
      <x:c r="W86" s="6" t="str">
        <x:v>明确的输出格式约束，确保LLM返回可解析的结构化信息。</x:v>
      </x:c>
      <x:c r="X86" s="6" t="str">
        <x:v>NA</x:v>
      </x:c>
    </x:row>
    <x:row r="87" ht="76" customHeight="1">
      <x:c r="A87" s="2" t="str">
        <x:v>S10</x:v>
      </x:c>
      <x:c r="B87" s="2" t="str">
        <x:v>S10-CF01</x:v>
      </x:c>
      <x:c r="C87" s="2" t="str">
        <x:v>S10-MU01</x:v>
      </x:c>
      <x:c r="D87" s="2" t="str">
        <x:v>S10-O01</x:v>
      </x:c>
      <x:c r="E87" s="2" t="str">
        <x:v>Prompting</x:v>
      </x:c>
      <x:c r="F87" s="2" t="str">
        <x:v>same prompt as Huang et al.</x:v>
      </x:c>
      <x:c r="G87" s="2" t="str">
        <x:v>PromptTemplate_EasyLink</x:v>
      </x:c>
      <x:c r="H87" s="6" t="str">
        <x:v>使用与EasyLink相同的提示模板，指令模型根据issue相关性对候选commit进行重排序，返回排序后的commit ID列表。</x:v>
      </x:c>
      <x:c r="I87" s="2" t="str">
        <x:v>Yes</x:v>
      </x:c>
      <x:c r="J87" s="2"/>
      <x:c r="K87" s="6" t="str">
        <x:v>Prompt design</x:v>
      </x:c>
      <x:c r="L87" s="2" t="str">
        <x:v>Structured/template prompting</x:v>
      </x:c>
      <x:c r="M87" s="2" t="str">
        <x:v>Structured/template prompting</x:v>
      </x:c>
      <x:c r="N87" s="2" t="str">
        <x:v>Yes</x:v>
      </x:c>
      <x:c r="O87" s="2" t="str">
        <x:v>Partial description</x:v>
      </x:c>
      <x:c r="P87" s="2" t="str">
        <x:v>0</x:v>
      </x:c>
      <x:c r="Q87" s="2" t="str">
        <x:v>No</x:v>
      </x:c>
      <x:c r="R87" s="2" t="str">
        <x:v>No</x:v>
      </x:c>
      <x:c r="S87" s="2" t="str">
        <x:v>No</x:v>
      </x:c>
      <x:c r="T87" s="2" t="str">
        <x:v>NA</x:v>
      </x:c>
      <x:c r="U87" s="6" t="str">
        <x:v>p. 8; Section 5.3</x:v>
      </x:c>
      <x:c r="V87" s="6" t="str">
        <x:v>For our LLM-based pipeline, we use the same prompt as Huang et al. [12] containing the concatenated issue title and description, as well as the commit ids and messages. The prompt instructs the model to re-rank the commits according to their relevance to the issue, returning only a list of ordered commit ids. The prompt can be found in our replication package.</x:v>
      </x:c>
      <x:c r="W87" s="6" t="str">
        <x:v>提示模板明确任务，零样本设置，未使用RAG或微调。</x:v>
      </x:c>
      <x:c r="X87" s="6" t="str">
        <x:v>This prompt was used for all LLMs (M1-M4).</x:v>
      </x:c>
    </x:row>
    <x:row r="88" ht="76" customHeight="1">
      <x:c r="A88" s="2" t="str">
        <x:v>S11</x:v>
      </x:c>
      <x:c r="B88" s="2" t="str">
        <x:v>S11-CF01</x:v>
      </x:c>
      <x:c r="C88" s="2" t="str">
        <x:v>S11-MU01</x:v>
      </x:c>
      <x:c r="D88" s="2" t="str">
        <x:v>S11-O01</x:v>
      </x:c>
      <x:c r="E88" s="2" t="str">
        <x:v>Prompting</x:v>
      </x:c>
      <x:c r="F88" s="2" t="str">
        <x:v>HSD requirement decomposition prompt</x:v>
      </x:c>
      <x:c r="G88" s="2" t="str">
        <x:v>HSD_REQ_PROMPT</x:v>
      </x:c>
      <x:c r="H88" s="6" t="str">
        <x:v>使用提示词要求LLM将需求文本分解为四层语义，并以指定JSON格式输出，限制每个列表最多5个短语，temperature=0确保确定性。</x:v>
      </x:c>
      <x:c r="I88" s="2" t="str">
        <x:v>Yes</x:v>
      </x:c>
      <x:c r="J88" s="2"/>
      <x:c r="K88" s="6" t="str">
        <x:v>Prompt design</x:v>
      </x:c>
      <x:c r="L88" s="2" t="str">
        <x:v>Structured/template prompting</x:v>
      </x:c>
      <x:c r="M88" s="2" t="str">
        <x:v>Structured/template prompting</x:v>
      </x:c>
      <x:c r="N88" s="2" t="str">
        <x:v>Yes</x:v>
      </x:c>
      <x:c r="O88" s="2" t="str">
        <x:v>Template reported</x:v>
      </x:c>
      <x:c r="P88" s="2" t="str">
        <x:v>NR</x:v>
      </x:c>
      <x:c r="Q88" s="2" t="str">
        <x:v>No</x:v>
      </x:c>
      <x:c r="R88" s="2" t="str">
        <x:v>No</x:v>
      </x:c>
      <x:c r="S88" s="2" t="str">
        <x:v>No</x:v>
      </x:c>
      <x:c r="T88" s="2" t="str">
        <x:v>NA</x:v>
      </x:c>
      <x:c r="U88" s="6" t="str">
        <x:v>p. 4; Section III-C, a) Requirement semantic decomposition</x:v>
      </x:c>
      <x:c r="V88" s="6" t="str">
        <x:v>Given requirement text Tr, we prompt the LLM to produce Sr in a structured JSON format with the corresponding fields (intent, actions, conditions, outputs). We cap each list at 5 concise phrases and set temperature = 0 for deterministic parsing.</x:v>
      </x:c>
      <x:c r="W88" s="6" t="str">
        <x:v>提示设计明确，输出格式受约束，属于典型的有结构提示。</x:v>
      </x:c>
      <x:c r="X88" s="6" t="str">
        <x:v>NA</x:v>
      </x:c>
    </x:row>
    <x:row r="89" ht="76" customHeight="1">
      <x:c r="A89" s="2" t="str">
        <x:v>S11</x:v>
      </x:c>
      <x:c r="B89" s="2" t="str">
        <x:v>S11-CF02</x:v>
      </x:c>
      <x:c r="C89" s="2" t="str">
        <x:v>S11-MU02</x:v>
      </x:c>
      <x:c r="D89" s="2" t="str">
        <x:v>S11-O02</x:v>
      </x:c>
      <x:c r="E89" s="2" t="str">
        <x:v>Prompting</x:v>
      </x:c>
      <x:c r="F89" s="2" t="str">
        <x:v>HSD code decomposition prompt</x:v>
      </x:c>
      <x:c r="G89" s="2" t="str">
        <x:v>HSD_CODE_PROMPT</x:v>
      </x:c>
      <x:c r="H89" s="6" t="str">
        <x:v>与需求分解类似，使用提示词引导LLM将代码文本分解为四层语义表示，并输出JSON。</x:v>
      </x:c>
      <x:c r="I89" s="2" t="str">
        <x:v>Yes</x:v>
      </x:c>
      <x:c r="J89" s="2"/>
      <x:c r="K89" s="6" t="str">
        <x:v>Prompt design</x:v>
      </x:c>
      <x:c r="L89" s="2" t="str">
        <x:v>Structured/template prompting</x:v>
      </x:c>
      <x:c r="M89" s="2" t="str">
        <x:v>Structured/template prompting</x:v>
      </x:c>
      <x:c r="N89" s="2" t="str">
        <x:v>Yes</x:v>
      </x:c>
      <x:c r="O89" s="2" t="str">
        <x:v>Template reported</x:v>
      </x:c>
      <x:c r="P89" s="2" t="str">
        <x:v>NR</x:v>
      </x:c>
      <x:c r="Q89" s="2" t="str">
        <x:v>No</x:v>
      </x:c>
      <x:c r="R89" s="2" t="str">
        <x:v>No</x:v>
      </x:c>
      <x:c r="S89" s="2" t="str">
        <x:v>No</x:v>
      </x:c>
      <x:c r="T89" s="2" t="str">
        <x:v>NA</x:v>
      </x:c>
      <x:c r="U89" s="6" t="str">
        <x:v>p. 6; Section IV-B, 2) Model</x:v>
      </x:c>
      <x:c r="V89" s="6" t="str">
        <x:v>2) Model: R2Code is implemented with DeepSeek-V3.1Terminus as the backbone LLM for hierarchical decomposition, bidirectional alignment, and consistency verification. We</x:v>
      </x:c>
      <x:c r="W89" s="6" t="str">
        <x:v>代码分解提示的具体内容未单独给出，但基于框架设计推断其与需求分解对称。</x:v>
      </x:c>
      <x:c r="X89" s="6" t="str">
        <x:v>NA</x:v>
      </x:c>
    </x:row>
    <x:row r="90" ht="76" customHeight="1">
      <x:c r="A90" s="2" t="str">
        <x:v>S11</x:v>
      </x:c>
      <x:c r="B90" s="2" t="str">
        <x:v>S11-CF03</x:v>
      </x:c>
      <x:c r="C90" s="2" t="str">
        <x:v>S11-MU03</x:v>
      </x:c>
      <x:c r="D90" s="2" t="str">
        <x:v>S11-O03</x:v>
      </x:c>
      <x:c r="E90" s="2" t="str">
        <x:v>Prompting</x:v>
      </x:c>
      <x:c r="F90" s="2" t="str">
        <x:v>BAN alignment scoring prompt</x:v>
      </x:c>
      <x:c r="G90" s="2" t="str">
        <x:v>BAN_ALIGN_PROMPT</x:v>
      </x:c>
      <x:c r="H90" s="6" t="str">
        <x:v>提示词要求LLM对给定的语义层对进行联合推理，输出带有分数、覆盖范围和证据的结构化JSON。</x:v>
      </x:c>
      <x:c r="I90" s="2" t="str">
        <x:v>Yes</x:v>
      </x:c>
      <x:c r="J90" s="2"/>
      <x:c r="K90" s="6" t="str">
        <x:v>Prompt design</x:v>
      </x:c>
      <x:c r="L90" s="2" t="str">
        <x:v>Structured/template prompting</x:v>
      </x:c>
      <x:c r="M90" s="2" t="str">
        <x:v>Retrieved context; Structured/template prompting</x:v>
      </x:c>
      <x:c r="N90" s="2" t="str">
        <x:v>Yes</x:v>
      </x:c>
      <x:c r="O90" s="2" t="str">
        <x:v>Template reported</x:v>
      </x:c>
      <x:c r="P90" s="2" t="str">
        <x:v>NR</x:v>
      </x:c>
      <x:c r="Q90" s="2" t="str">
        <x:v>No</x:v>
      </x:c>
      <x:c r="R90" s="2" t="str">
        <x:v>No</x:v>
      </x:c>
      <x:c r="S90" s="2" t="str">
        <x:v>No</x:v>
      </x:c>
      <x:c r="T90" s="2" t="str">
        <x:v>NA</x:v>
      </x:c>
      <x:c r="U90" s="6" t="str">
        <x:v>p. 5; Section III-C, c) Bidirectional Alignment Network</x:v>
      </x:c>
      <x:c r="V90" s="6" t="str">
        <x:v>Concretely, the LLM must return JSON in the following "coverage": &lt;"covered" | "partially_covered"</x:v>
      </x:c>
      <x:c r="W90" s="6" t="str">
        <x:v>提示中明确约束了输出格式，用于获取标准化评分。</x:v>
      </x:c>
      <x:c r="X90" s="6" t="str">
        <x:v>NA</x:v>
      </x:c>
    </x:row>
    <x:row r="91" ht="76" customHeight="1">
      <x:c r="A91" s="2" t="str">
        <x:v>S11</x:v>
      </x:c>
      <x:c r="B91" s="2" t="str">
        <x:v>S11-CF04</x:v>
      </x:c>
      <x:c r="C91" s="2" t="str">
        <x:v>S11-MU04</x:v>
      </x:c>
      <x:c r="D91" s="2" t="str">
        <x:v>S11-O04</x:v>
      </x:c>
      <x:c r="E91" s="2" t="str">
        <x:v>Prompting</x:v>
      </x:c>
      <x:c r="F91" s="2" t="str">
        <x:v>SRCV explanation generation prompt</x:v>
      </x:c>
      <x:c r="G91" s="2" t="str">
        <x:v>SRCV_GEN_PROMPT</x:v>
      </x:c>
      <x:c r="H91" s="6" t="str">
        <x:v>提示LLM基于需求、代码和初步对齐分数生成解释文本。</x:v>
      </x:c>
      <x:c r="I91" s="2" t="str">
        <x:v>Yes</x:v>
      </x:c>
      <x:c r="J91" s="2"/>
      <x:c r="K91" s="6" t="str">
        <x:v>Prompt design</x:v>
      </x:c>
      <x:c r="L91" s="2" t="str">
        <x:v>Task-specific prompting</x:v>
      </x:c>
      <x:c r="M91" s="2"/>
      <x:c r="N91" s="2" t="str">
        <x:v>Unclear</x:v>
      </x:c>
      <x:c r="O91" s="2" t="str">
        <x:v>Not reported</x:v>
      </x:c>
      <x:c r="P91" s="2" t="str">
        <x:v>NR</x:v>
      </x:c>
      <x:c r="Q91" s="2" t="str">
        <x:v>No</x:v>
      </x:c>
      <x:c r="R91" s="2" t="str">
        <x:v>No</x:v>
      </x:c>
      <x:c r="S91" s="2" t="str">
        <x:v>No</x:v>
      </x:c>
      <x:c r="T91" s="2" t="str">
        <x:v>NA</x:v>
      </x:c>
      <x:c r="U91" s="6" t="str">
        <x:v>p. 5; Section III-D, a) Explanation Generation</x:v>
      </x:c>
      <x:c r="V91" s="6" t="str">
        <x:v>SRCV first asks the LLM to generate an explicit justification: E(r, c) = LLMgen (r, c, sBAN ),</x:v>
      </x:c>
      <x:c r="W91" s="6" t="str">
        <x:v>论文仅说明要求生成解释，但未提供提示模板细节。</x:v>
      </x:c>
      <x:c r="X91" s="6" t="str">
        <x:v>NA</x:v>
      </x:c>
    </x:row>
    <x:row r="92" ht="76" customHeight="1">
      <x:c r="A92" s="2" t="str">
        <x:v>S11</x:v>
      </x:c>
      <x:c r="B92" s="2" t="str">
        <x:v>S11-CF05</x:v>
      </x:c>
      <x:c r="C92" s="2" t="str">
        <x:v>S11-MU05</x:v>
      </x:c>
      <x:c r="D92" s="2" t="str">
        <x:v>S11-O05</x:v>
      </x:c>
      <x:c r="E92" s="2" t="str">
        <x:v>Prompting</x:v>
      </x:c>
      <x:c r="F92" s="2" t="str">
        <x:v>SRCV consistency reflection prompt</x:v>
      </x:c>
      <x:c r="G92" s="2" t="str">
        <x:v>SRCV_JUDGE_PROMPT</x:v>
      </x:c>
      <x:c r="H92" s="6" t="str">
        <x:v>提示LLM判断解释与需求的一致性，输出包含一致性标签、分数和理由的JSON。</x:v>
      </x:c>
      <x:c r="I92" s="2" t="str">
        <x:v>Yes</x:v>
      </x:c>
      <x:c r="J92" s="2"/>
      <x:c r="K92" s="6" t="str">
        <x:v>Prompt design</x:v>
      </x:c>
      <x:c r="L92" s="2" t="str">
        <x:v>Iterative or staged prompting</x:v>
      </x:c>
      <x:c r="M92" s="2" t="str">
        <x:v>Iterative or staged prompting; Structured/template prompting</x:v>
      </x:c>
      <x:c r="N92" s="2" t="str">
        <x:v>Yes</x:v>
      </x:c>
      <x:c r="O92" s="2" t="str">
        <x:v>Template reported</x:v>
      </x:c>
      <x:c r="P92" s="2" t="str">
        <x:v>NR</x:v>
      </x:c>
      <x:c r="Q92" s="2" t="str">
        <x:v>No</x:v>
      </x:c>
      <x:c r="R92" s="2" t="str">
        <x:v>No</x:v>
      </x:c>
      <x:c r="S92" s="2" t="str">
        <x:v>No</x:v>
      </x:c>
      <x:c r="T92" s="2" t="str">
        <x:v>NA</x:v>
      </x:c>
      <x:c r="U92" s="6" t="str">
        <x:v>p. 5; Section III-D, b) Consistency Reflection</x:v>
      </x:c>
      <x:c r="V92" s="6" t="str">
        <x:v>JSON in the following schema: "consistent": &lt;"yes" | "no"&gt;,</x:v>
      </x:c>
      <x:c r="W92" s="6" t="str">
        <x:v>该提示定义了评估的输出结构。</x:v>
      </x:c>
      <x:c r="X92" s="6" t="str">
        <x:v>NA</x:v>
      </x:c>
    </x:row>
    <x:row r="93" ht="76" customHeight="1">
      <x:c r="A93" s="2" t="str">
        <x:v>S12</x:v>
      </x:c>
      <x:c r="B93" s="2" t="str">
        <x:v>S12-CF01</x:v>
      </x:c>
      <x:c r="C93" s="2" t="str">
        <x:v>S12-MU01</x:v>
      </x:c>
      <x:c r="D93" s="2" t="str">
        <x:v>S12-O01</x:v>
      </x:c>
      <x:c r="E93" s="2" t="str">
        <x:v>Prompting</x:v>
      </x:c>
      <x:c r="F93" s="2" t="str">
        <x:v>Optimized prompt P6</x:v>
      </x:c>
      <x:c r="G93" s="2" t="str">
        <x:v>prompt-p6</x:v>
      </x:c>
      <x:c r="H93" s="6" t="str">
        <x:v>提示模版，包含角色（软件追溯专家）、领域上下文（航空航天系统）和工件类型（高层需求、设计元素），并要求输出限于 Yes/No。</x:v>
      </x:c>
      <x:c r="I93" s="2" t="str">
        <x:v>Yes</x:v>
      </x:c>
      <x:c r="J93" s="2"/>
      <x:c r="K93" s="6" t="str">
        <x:v>Prompt design</x:v>
      </x:c>
      <x:c r="L93" s="2" t="str">
        <x:v>Task-specific prompting</x:v>
      </x:c>
      <x:c r="M93" s="2"/>
      <x:c r="N93" s="2" t="str">
        <x:v>Yes</x:v>
      </x:c>
      <x:c r="O93" s="2" t="str">
        <x:v>Full prompt reported</x:v>
      </x:c>
      <x:c r="P93" s="2" t="str">
        <x:v>NA</x:v>
      </x:c>
      <x:c r="Q93" s="2" t="str">
        <x:v>No</x:v>
      </x:c>
      <x:c r="R93" s="2" t="str">
        <x:v>No</x:v>
      </x:c>
      <x:c r="S93" s="2" t="str">
        <x:v>No</x:v>
      </x:c>
      <x:c r="T93" s="2" t="str">
        <x:v>Single LLM call per pair</x:v>
      </x:c>
      <x:c r="U93" s="6" t="str">
        <x:v>p. 26; Section 6.1.2, description of P6</x:v>
      </x:c>
      <x:c r="V93" s="6" t="str">
        <x:v>You are an expert in software traceability. You are given two artifacts from an aerospace system. (1) is a high-level requirement and (2) is a design element. Does (2) directly fulfill (1)? Answer with only ‘Yes’ or ‘No’.</x:v>
      </x:c>
      <x:c r="W93" s="6" t="str">
        <x:v>经过迭代优化的提示模版，通过添加专家角色、领域信息和精确的动词（directly fulfill）来提高链接分类的精确度。该提示模版在跨数据集实验中通过替换 [DOMAIN]、[ARTIFACT 1] 等占位符进行适配（见表8）。</x:v>
      </x:c>
      <x:c r="X93" s="6" t="str">
        <x:v>Applies to all eight LLMs in the study; adapted for other datasets via template placeholders.</x:v>
      </x:c>
    </x:row>
    <x:row r="94" ht="76" customHeight="1">
      <x:c r="A94" s="2" t="str">
        <x:v>S12</x:v>
      </x:c>
      <x:c r="B94" s="2" t="str">
        <x:v>S12-CF02</x:v>
      </x:c>
      <x:c r="C94" s="2" t="str">
        <x:v>S12-MU01</x:v>
      </x:c>
      <x:c r="D94" s="2" t="str">
        <x:v>S12-O01</x:v>
      </x:c>
      <x:c r="E94" s="2" t="str">
        <x:v>Context construction</x:v>
      </x:c>
      <x:c r="F94" s="2" t="str">
        <x:v>Label-aware diversity-based demonstration selection</x:v>
      </x:c>
      <x:c r="G94" s="2" t="str">
        <x:v>dss-diversity-label-aware</x:v>
      </x:c>
      <x:c r="H94" s="6" t="str">
        <x:v>选择与查询语义多样且标签均衡的示例，用于少样本提示。算法使用 MPNet 嵌入计算余弦相似度，贪婪选择多样化示例，并约束正负例数量均衡。</x:v>
      </x:c>
      <x:c r="I94" s="2" t="str">
        <x:v>Yes</x:v>
      </x:c>
      <x:c r="J94" s="2"/>
      <x:c r="K94" s="6" t="str">
        <x:v>Input and context construction</x:v>
      </x:c>
      <x:c r="L94" s="2" t="str">
        <x:v>Task-specific context organization</x:v>
      </x:c>
      <x:c r="M94" s="2" t="str">
        <x:v>Few-shot/in-context examples</x:v>
      </x:c>
      <x:c r="N94" s="2" t="str">
        <x:v>Yes</x:v>
      </x:c>
      <x:c r="O94" s="2" t="str">
        <x:v>Partial description</x:v>
      </x:c>
      <x:c r="P94" s="2" t="str">
        <x:v>2</x:v>
      </x:c>
      <x:c r="Q94" s="2" t="str">
        <x:v>No</x:v>
      </x:c>
      <x:c r="R94" s="2" t="str">
        <x:v>No</x:v>
      </x:c>
      <x:c r="S94" s="2" t="str">
        <x:v>No</x:v>
      </x:c>
      <x:c r="T94" s="2" t="str">
        <x:v>Embedding-based selection prior to LLM call</x:v>
      </x:c>
      <x:c r="U94" s="6" t="str">
        <x:v>p. 32; Section 6.3, Observation 5</x:v>
      </x:c>
      <x:c r="V94" s="6" t="str">
        <x:v>Diversity-based selection with only 2 shots yields the highest recall and F2-score with a significant statistical difference</x:v>
      </x:c>
      <x:c r="W94" s="6" t="str">
        <x:v>结合语义多样性和标签均衡的示例选择策略，有效提升少样本学习的召回率和 F2 分数。该策略与GPT-4o-mini配合使用，在 CM1 数据集上达到最高 F2 分数 0.68。</x:v>
      </x:c>
      <x:c r="X94" s="6" t="str">
        <x:v>Best performance achieved with 2 shots; other shot counts also tested.</x:v>
      </x:c>
    </x:row>
    <x:row r="95" ht="76" customHeight="1">
      <x:c r="A95" s="2" t="str">
        <x:v>S13</x:v>
      </x:c>
      <x:c r="B95" s="2" t="str">
        <x:v>S13-CF01</x:v>
      </x:c>
      <x:c r="C95" s="2" t="str">
        <x:v>S13-MU01</x:v>
      </x:c>
      <x:c r="D95" s="2" t="str">
        <x:v>S13-O01</x:v>
      </x:c>
      <x:c r="E95" s="2" t="str">
        <x:v>Prompting</x:v>
      </x:c>
      <x:c r="F95" s="2" t="str">
        <x:v>Zero-shot Prompt Template (R-to-C)</x:v>
      </x:c>
      <x:c r="G95" s="2" t="str">
        <x:v>ZS-R2C</x:v>
      </x:c>
      <x:c r="H95" s="6" t="str">
        <x:v>基于CO-STAR框架设计的零样本提示模板，用于从需求生成代码。模板包含CONTEXT、OBJECTIVE、STYLE、TONE、AUDIENCE、RESPONSE六部分，完全在论文中报告。</x:v>
      </x:c>
      <x:c r="I95" s="2" t="str">
        <x:v>Yes</x:v>
      </x:c>
      <x:c r="J95" s="2"/>
      <x:c r="K95" s="6" t="str">
        <x:v>Prompt design</x:v>
      </x:c>
      <x:c r="L95" s="2" t="str">
        <x:v>Few-shot/in-context examples</x:v>
      </x:c>
      <x:c r="M95" s="2" t="str">
        <x:v>Few-shot/in-context examples; Structured/template prompting; Zero-shot prompting</x:v>
      </x:c>
      <x:c r="N95" s="2" t="str">
        <x:v>Yes</x:v>
      </x:c>
      <x:c r="O95" s="2" t="str">
        <x:v>Full prompt reported</x:v>
      </x:c>
      <x:c r="P95" s="2" t="str">
        <x:v>0</x:v>
      </x:c>
      <x:c r="Q95" s="2" t="str">
        <x:v>No</x:v>
      </x:c>
      <x:c r="R95" s="2" t="str">
        <x:v>No</x:v>
      </x:c>
      <x:c r="S95" s="2" t="str">
        <x:v>No</x:v>
      </x:c>
      <x:c r="T95" s="2" t="str">
        <x:v>NR</x:v>
      </x:c>
      <x:c r="U95" s="6" t="str">
        <x:v>p. 11; Section 3.1.2</x:v>
      </x:c>
      <x:c r="V95" s="6" t="str">
        <x:v>Our zero-shot template is a direct implementation of this structured methodology.</x:v>
      </x:c>
      <x:c r="W95" s="6" t="str">
        <x:v>使用完整的CO-STAR提示框架，明确指导LLM生成符合软件工程实践的代码。</x:v>
      </x:c>
      <x:c r="X95" s="6" t="str">
        <x:v>NA</x:v>
      </x:c>
    </x:row>
    <x:row r="96" ht="76" customHeight="1">
      <x:c r="A96" s="2" t="str">
        <x:v>S13</x:v>
      </x:c>
      <x:c r="B96" s="2" t="str">
        <x:v>S13-CF02</x:v>
      </x:c>
      <x:c r="C96" s="2" t="str">
        <x:v>S13-MU01</x:v>
      </x:c>
      <x:c r="D96" s="2" t="str">
        <x:v>S13-O01</x:v>
      </x:c>
      <x:c r="E96" s="2" t="str">
        <x:v>Prompting</x:v>
      </x:c>
      <x:c r="F96" s="2" t="str">
        <x:v>Few-shot Prompt Template (R-to-C)</x:v>
      </x:c>
      <x:c r="G96" s="2" t="str">
        <x:v>FS-R2C</x:v>
      </x:c>
      <x:c r="H96" s="6" t="str">
        <x:v>包含一个示例对的少样本提示模板，用于从需求生成代码。模板由任务描述、示例需求和示例代码组成。</x:v>
      </x:c>
      <x:c r="I96" s="2" t="str">
        <x:v>Yes</x:v>
      </x:c>
      <x:c r="J96" s="2"/>
      <x:c r="K96" s="6" t="str">
        <x:v>Prompt design</x:v>
      </x:c>
      <x:c r="L96" s="2" t="str">
        <x:v>Few-shot/in-context examples</x:v>
      </x:c>
      <x:c r="M96" s="2" t="str">
        <x:v>Few-shot/in-context examples; Structured/template prompting</x:v>
      </x:c>
      <x:c r="N96" s="2" t="str">
        <x:v>Yes</x:v>
      </x:c>
      <x:c r="O96" s="2" t="str">
        <x:v>Full prompt reported</x:v>
      </x:c>
      <x:c r="P96" s="2" t="str">
        <x:v>1</x:v>
      </x:c>
      <x:c r="Q96" s="2" t="str">
        <x:v>No</x:v>
      </x:c>
      <x:c r="R96" s="2" t="str">
        <x:v>No</x:v>
      </x:c>
      <x:c r="S96" s="2" t="str">
        <x:v>No</x:v>
      </x:c>
      <x:c r="T96" s="2" t="str">
        <x:v>NR</x:v>
      </x:c>
      <x:c r="U96" s="6" t="str">
        <x:v>p. 13; Figure 5</x:v>
      </x:c>
      <x:c r="V96" s="6" t="str">
        <x:v>Few-shot Prompt Template: Generate Code from Requirement</x:v>
      </x:c>
      <x:c r="W96" s="6" t="str">
        <x:v>采用单样本示例指导LLM生成代码，减少指令复杂度。</x:v>
      </x:c>
      <x:c r="X96" s="6" t="str">
        <x:v>NA</x:v>
      </x:c>
    </x:row>
    <x:row r="97" ht="76" customHeight="1">
      <x:c r="A97" s="2" t="str">
        <x:v>S13</x:v>
      </x:c>
      <x:c r="B97" s="2" t="str">
        <x:v>S13-CF03</x:v>
      </x:c>
      <x:c r="C97" s="2" t="str">
        <x:v>S13-MU02</x:v>
      </x:c>
      <x:c r="D97" s="2" t="str">
        <x:v>S13-O01</x:v>
      </x:c>
      <x:c r="E97" s="2" t="str">
        <x:v>Prompting</x:v>
      </x:c>
      <x:c r="F97" s="2" t="str">
        <x:v>Zero-shot Prompt Template (R-to-C)</x:v>
      </x:c>
      <x:c r="G97" s="2" t="str">
        <x:v>ZS-R2C</x:v>
      </x:c>
      <x:c r="H97" s="6" t="str">
        <x:v>同F1，零样本提示模板。</x:v>
      </x:c>
      <x:c r="I97" s="2" t="str">
        <x:v>Yes</x:v>
      </x:c>
      <x:c r="J97" s="2"/>
      <x:c r="K97" s="6" t="str">
        <x:v>Prompt design</x:v>
      </x:c>
      <x:c r="L97" s="2" t="str">
        <x:v>Few-shot/in-context examples</x:v>
      </x:c>
      <x:c r="M97" s="2" t="str">
        <x:v>Few-shot/in-context examples; Structured/template prompting; Zero-shot prompting</x:v>
      </x:c>
      <x:c r="N97" s="2" t="str">
        <x:v>Yes</x:v>
      </x:c>
      <x:c r="O97" s="2" t="str">
        <x:v>Full prompt reported</x:v>
      </x:c>
      <x:c r="P97" s="2" t="str">
        <x:v>0</x:v>
      </x:c>
      <x:c r="Q97" s="2" t="str">
        <x:v>No</x:v>
      </x:c>
      <x:c r="R97" s="2" t="str">
        <x:v>No</x:v>
      </x:c>
      <x:c r="S97" s="2" t="str">
        <x:v>No</x:v>
      </x:c>
      <x:c r="T97" s="2" t="str">
        <x:v>NR</x:v>
      </x:c>
      <x:c r="U97" s="6" t="str">
        <x:v>p. 11; Section 3.1.2</x:v>
      </x:c>
      <x:c r="V97" s="6" t="str">
        <x:v>Our zero-shot template is a direct implementation of this structured methodology.</x:v>
      </x:c>
      <x:c r="W97" s="6" t="str">
        <x:v>同上。</x:v>
      </x:c>
      <x:c r="X97" s="6" t="str">
        <x:v>NA</x:v>
      </x:c>
    </x:row>
    <x:row r="98" ht="76" customHeight="1">
      <x:c r="A98" s="2" t="str">
        <x:v>S13</x:v>
      </x:c>
      <x:c r="B98" s="2" t="str">
        <x:v>S13-CF04</x:v>
      </x:c>
      <x:c r="C98" s="2" t="str">
        <x:v>S13-MU02</x:v>
      </x:c>
      <x:c r="D98" s="2" t="str">
        <x:v>S13-O01</x:v>
      </x:c>
      <x:c r="E98" s="2" t="str">
        <x:v>Prompting</x:v>
      </x:c>
      <x:c r="F98" s="2" t="str">
        <x:v>Few-shot Prompt Template (R-to-C)</x:v>
      </x:c>
      <x:c r="G98" s="2" t="str">
        <x:v>FS-R2C</x:v>
      </x:c>
      <x:c r="H98" s="6" t="str">
        <x:v>同F2，少样本提示模板。</x:v>
      </x:c>
      <x:c r="I98" s="2" t="str">
        <x:v>Yes</x:v>
      </x:c>
      <x:c r="J98" s="2"/>
      <x:c r="K98" s="6" t="str">
        <x:v>Prompt design</x:v>
      </x:c>
      <x:c r="L98" s="2" t="str">
        <x:v>Few-shot/in-context examples</x:v>
      </x:c>
      <x:c r="M98" s="2" t="str">
        <x:v>Few-shot/in-context examples; Structured/template prompting</x:v>
      </x:c>
      <x:c r="N98" s="2" t="str">
        <x:v>Yes</x:v>
      </x:c>
      <x:c r="O98" s="2" t="str">
        <x:v>Full prompt reported</x:v>
      </x:c>
      <x:c r="P98" s="2" t="str">
        <x:v>1</x:v>
      </x:c>
      <x:c r="Q98" s="2" t="str">
        <x:v>No</x:v>
      </x:c>
      <x:c r="R98" s="2" t="str">
        <x:v>No</x:v>
      </x:c>
      <x:c r="S98" s="2" t="str">
        <x:v>No</x:v>
      </x:c>
      <x:c r="T98" s="2" t="str">
        <x:v>NR</x:v>
      </x:c>
      <x:c r="U98" s="6" t="str">
        <x:v>p. 13; Figure 5</x:v>
      </x:c>
      <x:c r="V98" s="6" t="str">
        <x:v>Few-shot Prompt Template: Generate Code from Requirement</x:v>
      </x:c>
      <x:c r="W98" s="6" t="str">
        <x:v>同上。</x:v>
      </x:c>
      <x:c r="X98" s="6" t="str">
        <x:v>NA</x:v>
      </x:c>
    </x:row>
    <x:row r="99" ht="76" customHeight="1">
      <x:c r="A99" s="2" t="str">
        <x:v>S13</x:v>
      </x:c>
      <x:c r="B99" s="2" t="str">
        <x:v>S13-CF05</x:v>
      </x:c>
      <x:c r="C99" s="2" t="str">
        <x:v>S13-MU03</x:v>
      </x:c>
      <x:c r="D99" s="2" t="str">
        <x:v>S13-O01</x:v>
      </x:c>
      <x:c r="E99" s="2" t="str">
        <x:v>Prompting</x:v>
      </x:c>
      <x:c r="F99" s="2" t="str">
        <x:v>Zero-shot Prompt Template (R-to-C)</x:v>
      </x:c>
      <x:c r="G99" s="2" t="str">
        <x:v>ZS-R2C</x:v>
      </x:c>
      <x:c r="H99" s="6" t="str">
        <x:v>同F1。</x:v>
      </x:c>
      <x:c r="I99" s="2" t="str">
        <x:v>Yes</x:v>
      </x:c>
      <x:c r="J99" s="2"/>
      <x:c r="K99" s="6" t="str">
        <x:v>Prompt design</x:v>
      </x:c>
      <x:c r="L99" s="2" t="str">
        <x:v>Few-shot/in-context examples</x:v>
      </x:c>
      <x:c r="M99" s="2" t="str">
        <x:v>Few-shot/in-context examples; Structured/template prompting; Zero-shot prompting</x:v>
      </x:c>
      <x:c r="N99" s="2" t="str">
        <x:v>Yes</x:v>
      </x:c>
      <x:c r="O99" s="2" t="str">
        <x:v>Full prompt reported</x:v>
      </x:c>
      <x:c r="P99" s="2" t="str">
        <x:v>0</x:v>
      </x:c>
      <x:c r="Q99" s="2" t="str">
        <x:v>No</x:v>
      </x:c>
      <x:c r="R99" s="2" t="str">
        <x:v>No</x:v>
      </x:c>
      <x:c r="S99" s="2" t="str">
        <x:v>No</x:v>
      </x:c>
      <x:c r="T99" s="2" t="str">
        <x:v>NR</x:v>
      </x:c>
      <x:c r="U99" s="6" t="str">
        <x:v>p. 11; Section 3.1.2</x:v>
      </x:c>
      <x:c r="V99" s="6" t="str">
        <x:v>Our zero-shot template is a direct implementation of this structured methodology.</x:v>
      </x:c>
      <x:c r="W99" s="6" t="str">
        <x:v>同上。</x:v>
      </x:c>
      <x:c r="X99" s="6" t="str">
        <x:v>NA</x:v>
      </x:c>
    </x:row>
    <x:row r="100" ht="76" customHeight="1">
      <x:c r="A100" s="2" t="str">
        <x:v>S13</x:v>
      </x:c>
      <x:c r="B100" s="2" t="str">
        <x:v>S13-CF06</x:v>
      </x:c>
      <x:c r="C100" s="2" t="str">
        <x:v>S13-MU03</x:v>
      </x:c>
      <x:c r="D100" s="2" t="str">
        <x:v>S13-O01</x:v>
      </x:c>
      <x:c r="E100" s="2" t="str">
        <x:v>Prompting</x:v>
      </x:c>
      <x:c r="F100" s="2" t="str">
        <x:v>Few-shot Prompt Template (R-to-C)</x:v>
      </x:c>
      <x:c r="G100" s="2" t="str">
        <x:v>FS-R2C</x:v>
      </x:c>
      <x:c r="H100" s="6" t="str">
        <x:v>同F2。</x:v>
      </x:c>
      <x:c r="I100" s="2" t="str">
        <x:v>Yes</x:v>
      </x:c>
      <x:c r="J100" s="2"/>
      <x:c r="K100" s="6" t="str">
        <x:v>Prompt design</x:v>
      </x:c>
      <x:c r="L100" s="2" t="str">
        <x:v>Few-shot/in-context examples</x:v>
      </x:c>
      <x:c r="M100" s="2" t="str">
        <x:v>Few-shot/in-context examples; Structured/template prompting</x:v>
      </x:c>
      <x:c r="N100" s="2" t="str">
        <x:v>Yes</x:v>
      </x:c>
      <x:c r="O100" s="2" t="str">
        <x:v>Full prompt reported</x:v>
      </x:c>
      <x:c r="P100" s="2" t="str">
        <x:v>1</x:v>
      </x:c>
      <x:c r="Q100" s="2" t="str">
        <x:v>No</x:v>
      </x:c>
      <x:c r="R100" s="2" t="str">
        <x:v>No</x:v>
      </x:c>
      <x:c r="S100" s="2" t="str">
        <x:v>No</x:v>
      </x:c>
      <x:c r="T100" s="2" t="str">
        <x:v>NR</x:v>
      </x:c>
      <x:c r="U100" s="6" t="str">
        <x:v>p. 13; Figure 5</x:v>
      </x:c>
      <x:c r="V100" s="6" t="str">
        <x:v>Few-shot Prompt Template: Generate Code from Requirement</x:v>
      </x:c>
      <x:c r="W100" s="6" t="str">
        <x:v>同上。</x:v>
      </x:c>
      <x:c r="X100" s="6" t="str">
        <x:v>NA</x:v>
      </x:c>
    </x:row>
    <x:row r="101" ht="76" customHeight="1">
      <x:c r="A101" s="2" t="str">
        <x:v>S13</x:v>
      </x:c>
      <x:c r="B101" s="2" t="str">
        <x:v>S13-CF07</x:v>
      </x:c>
      <x:c r="C101" s="2" t="str">
        <x:v>S13-MU04</x:v>
      </x:c>
      <x:c r="D101" s="2" t="str">
        <x:v>S13-O01</x:v>
      </x:c>
      <x:c r="E101" s="2" t="str">
        <x:v>Prompting</x:v>
      </x:c>
      <x:c r="F101" s="2" t="str">
        <x:v>Zero-shot Prompt Template (R-to-C)</x:v>
      </x:c>
      <x:c r="G101" s="2" t="str">
        <x:v>ZS-R2C</x:v>
      </x:c>
      <x:c r="H101" s="6" t="str">
        <x:v>同F1。</x:v>
      </x:c>
      <x:c r="I101" s="2" t="str">
        <x:v>Yes</x:v>
      </x:c>
      <x:c r="J101" s="2"/>
      <x:c r="K101" s="6" t="str">
        <x:v>Prompt design</x:v>
      </x:c>
      <x:c r="L101" s="2" t="str">
        <x:v>Few-shot/in-context examples</x:v>
      </x:c>
      <x:c r="M101" s="2" t="str">
        <x:v>Few-shot/in-context examples; Structured/template prompting; Zero-shot prompting</x:v>
      </x:c>
      <x:c r="N101" s="2" t="str">
        <x:v>Yes</x:v>
      </x:c>
      <x:c r="O101" s="2" t="str">
        <x:v>Full prompt reported</x:v>
      </x:c>
      <x:c r="P101" s="2" t="str">
        <x:v>0</x:v>
      </x:c>
      <x:c r="Q101" s="2" t="str">
        <x:v>No</x:v>
      </x:c>
      <x:c r="R101" s="2" t="str">
        <x:v>No</x:v>
      </x:c>
      <x:c r="S101" s="2" t="str">
        <x:v>No</x:v>
      </x:c>
      <x:c r="T101" s="2" t="str">
        <x:v>NR</x:v>
      </x:c>
      <x:c r="U101" s="6" t="str">
        <x:v>p. 11; Section 3.1.2</x:v>
      </x:c>
      <x:c r="V101" s="6" t="str">
        <x:v>Our zero-shot template is a direct implementation of this structured methodology.</x:v>
      </x:c>
      <x:c r="W101" s="6" t="str">
        <x:v>同上。</x:v>
      </x:c>
      <x:c r="X101" s="6" t="str">
        <x:v>NA</x:v>
      </x:c>
    </x:row>
    <x:row r="102" ht="76" customHeight="1">
      <x:c r="A102" s="2" t="str">
        <x:v>S13</x:v>
      </x:c>
      <x:c r="B102" s="2" t="str">
        <x:v>S13-CF08</x:v>
      </x:c>
      <x:c r="C102" s="2" t="str">
        <x:v>S13-MU04</x:v>
      </x:c>
      <x:c r="D102" s="2" t="str">
        <x:v>S13-O01</x:v>
      </x:c>
      <x:c r="E102" s="2" t="str">
        <x:v>Prompting</x:v>
      </x:c>
      <x:c r="F102" s="2" t="str">
        <x:v>Few-shot Prompt Template (R-to-C)</x:v>
      </x:c>
      <x:c r="G102" s="2" t="str">
        <x:v>FS-R2C</x:v>
      </x:c>
      <x:c r="H102" s="6" t="str">
        <x:v>同F2。</x:v>
      </x:c>
      <x:c r="I102" s="2" t="str">
        <x:v>Yes</x:v>
      </x:c>
      <x:c r="J102" s="2"/>
      <x:c r="K102" s="6" t="str">
        <x:v>Prompt design</x:v>
      </x:c>
      <x:c r="L102" s="2" t="str">
        <x:v>Few-shot/in-context examples</x:v>
      </x:c>
      <x:c r="M102" s="2" t="str">
        <x:v>Few-shot/in-context examples; Structured/template prompting</x:v>
      </x:c>
      <x:c r="N102" s="2" t="str">
        <x:v>Yes</x:v>
      </x:c>
      <x:c r="O102" s="2" t="str">
        <x:v>Full prompt reported</x:v>
      </x:c>
      <x:c r="P102" s="2" t="str">
        <x:v>1</x:v>
      </x:c>
      <x:c r="Q102" s="2" t="str">
        <x:v>No</x:v>
      </x:c>
      <x:c r="R102" s="2" t="str">
        <x:v>No</x:v>
      </x:c>
      <x:c r="S102" s="2" t="str">
        <x:v>No</x:v>
      </x:c>
      <x:c r="T102" s="2" t="str">
        <x:v>NR</x:v>
      </x:c>
      <x:c r="U102" s="6" t="str">
        <x:v>p. 13; Figure 5</x:v>
      </x:c>
      <x:c r="V102" s="6" t="str">
        <x:v>Few-shot Prompt Template: Generate Code from Requirement</x:v>
      </x:c>
      <x:c r="W102" s="6" t="str">
        <x:v>同上。</x:v>
      </x:c>
      <x:c r="X102" s="6" t="str">
        <x:v>NA</x:v>
      </x:c>
    </x:row>
    <x:row r="103" ht="76" customHeight="1">
      <x:c r="A103" s="2" t="str">
        <x:v>S13</x:v>
      </x:c>
      <x:c r="B103" s="2" t="str">
        <x:v>S13-CF09</x:v>
      </x:c>
      <x:c r="C103" s="2" t="str">
        <x:v>S13-MU05</x:v>
      </x:c>
      <x:c r="D103" s="2" t="str">
        <x:v>S13-O02</x:v>
      </x:c>
      <x:c r="E103" s="2" t="str">
        <x:v>Prompting</x:v>
      </x:c>
      <x:c r="F103" s="2" t="str">
        <x:v>Zero-shot Prompt Template (C-to-R)</x:v>
      </x:c>
      <x:c r="G103" s="2" t="str">
        <x:v>ZS-C2R</x:v>
      </x:c>
      <x:c r="H103" s="6" t="str">
        <x:v>基于CO-STAR框架的零样本提示模板，用于从代码生成需求。模板在论文中完整给出。</x:v>
      </x:c>
      <x:c r="I103" s="2" t="str">
        <x:v>Yes</x:v>
      </x:c>
      <x:c r="J103" s="2"/>
      <x:c r="K103" s="6" t="str">
        <x:v>Prompt design</x:v>
      </x:c>
      <x:c r="L103" s="2" t="str">
        <x:v>Few-shot/in-context examples</x:v>
      </x:c>
      <x:c r="M103" s="2" t="str">
        <x:v>Few-shot/in-context examples; Structured/template prompting; Zero-shot prompting</x:v>
      </x:c>
      <x:c r="N103" s="2" t="str">
        <x:v>Yes</x:v>
      </x:c>
      <x:c r="O103" s="2" t="str">
        <x:v>Full prompt reported</x:v>
      </x:c>
      <x:c r="P103" s="2" t="str">
        <x:v>0</x:v>
      </x:c>
      <x:c r="Q103" s="2" t="str">
        <x:v>No</x:v>
      </x:c>
      <x:c r="R103" s="2" t="str">
        <x:v>No</x:v>
      </x:c>
      <x:c r="S103" s="2" t="str">
        <x:v>No</x:v>
      </x:c>
      <x:c r="T103" s="2" t="str">
        <x:v>NR</x:v>
      </x:c>
      <x:c r="U103" s="6" t="str">
        <x:v>p. 11; Section 3.1.2</x:v>
      </x:c>
      <x:c r="V103" s="6" t="str">
        <x:v>Our zero-shot template is a direct implementation of this structured methodology.</x:v>
      </x:c>
      <x:c r="W103" s="6" t="str">
        <x:v>使用CO-STAR提示框架从代码生成需求描述。</x:v>
      </x:c>
      <x:c r="X103" s="6" t="str">
        <x:v>NA</x:v>
      </x:c>
    </x:row>
    <x:row r="104" ht="76" customHeight="1">
      <x:c r="A104" s="2" t="str">
        <x:v>S13</x:v>
      </x:c>
      <x:c r="B104" s="2" t="str">
        <x:v>S13-CF10</x:v>
      </x:c>
      <x:c r="C104" s="2" t="str">
        <x:v>S13-MU05</x:v>
      </x:c>
      <x:c r="D104" s="2" t="str">
        <x:v>S13-O02</x:v>
      </x:c>
      <x:c r="E104" s="2" t="str">
        <x:v>Prompting</x:v>
      </x:c>
      <x:c r="F104" s="2" t="str">
        <x:v>Few-shot Prompt Template (C-to-R)</x:v>
      </x:c>
      <x:c r="G104" s="2" t="str">
        <x:v>FS-C2R</x:v>
      </x:c>
      <x:c r="H104" s="6" t="str">
        <x:v>包含一个示例对的少样本提示模板，用于从代码生成需求。</x:v>
      </x:c>
      <x:c r="I104" s="2" t="str">
        <x:v>Yes</x:v>
      </x:c>
      <x:c r="J104" s="2"/>
      <x:c r="K104" s="6" t="str">
        <x:v>Prompt design</x:v>
      </x:c>
      <x:c r="L104" s="2" t="str">
        <x:v>Few-shot/in-context examples</x:v>
      </x:c>
      <x:c r="M104" s="2" t="str">
        <x:v>Few-shot/in-context examples; Structured/template prompting</x:v>
      </x:c>
      <x:c r="N104" s="2" t="str">
        <x:v>Yes</x:v>
      </x:c>
      <x:c r="O104" s="2" t="str">
        <x:v>Full prompt reported</x:v>
      </x:c>
      <x:c r="P104" s="2" t="str">
        <x:v>1</x:v>
      </x:c>
      <x:c r="Q104" s="2" t="str">
        <x:v>No</x:v>
      </x:c>
      <x:c r="R104" s="2" t="str">
        <x:v>No</x:v>
      </x:c>
      <x:c r="S104" s="2" t="str">
        <x:v>No</x:v>
      </x:c>
      <x:c r="T104" s="2" t="str">
        <x:v>NR</x:v>
      </x:c>
      <x:c r="U104" s="6" t="str">
        <x:v>p. 13; Figure 6</x:v>
      </x:c>
      <x:c r="V104" s="6" t="str">
        <x:v>Few-shot Prompt Template: Generate Requirement from Code</x:v>
      </x:c>
      <x:c r="W104" s="6" t="str">
        <x:v>单样本示例指导LLM从代码生成需求。</x:v>
      </x:c>
      <x:c r="X104" s="6" t="str">
        <x:v>NA</x:v>
      </x:c>
    </x:row>
    <x:row r="105" ht="76" customHeight="1">
      <x:c r="A105" s="2" t="str">
        <x:v>S13</x:v>
      </x:c>
      <x:c r="B105" s="2" t="str">
        <x:v>S13-CF11</x:v>
      </x:c>
      <x:c r="C105" s="2" t="str">
        <x:v>S13-MU06</x:v>
      </x:c>
      <x:c r="D105" s="2" t="str">
        <x:v>S13-O02</x:v>
      </x:c>
      <x:c r="E105" s="2" t="str">
        <x:v>Prompting</x:v>
      </x:c>
      <x:c r="F105" s="2" t="str">
        <x:v>Zero-shot Prompt Template (C-to-R)</x:v>
      </x:c>
      <x:c r="G105" s="2" t="str">
        <x:v>ZS-C2R</x:v>
      </x:c>
      <x:c r="H105" s="6" t="str">
        <x:v>同F9。</x:v>
      </x:c>
      <x:c r="I105" s="2" t="str">
        <x:v>Yes</x:v>
      </x:c>
      <x:c r="J105" s="2"/>
      <x:c r="K105" s="6" t="str">
        <x:v>Prompt design</x:v>
      </x:c>
      <x:c r="L105" s="2" t="str">
        <x:v>Few-shot/in-context examples</x:v>
      </x:c>
      <x:c r="M105" s="2" t="str">
        <x:v>Few-shot/in-context examples; Structured/template prompting; Zero-shot prompting</x:v>
      </x:c>
      <x:c r="N105" s="2" t="str">
        <x:v>Yes</x:v>
      </x:c>
      <x:c r="O105" s="2" t="str">
        <x:v>Full prompt reported</x:v>
      </x:c>
      <x:c r="P105" s="2" t="str">
        <x:v>0</x:v>
      </x:c>
      <x:c r="Q105" s="2" t="str">
        <x:v>No</x:v>
      </x:c>
      <x:c r="R105" s="2" t="str">
        <x:v>No</x:v>
      </x:c>
      <x:c r="S105" s="2" t="str">
        <x:v>No</x:v>
      </x:c>
      <x:c r="T105" s="2" t="str">
        <x:v>NR</x:v>
      </x:c>
      <x:c r="U105" s="6" t="str">
        <x:v>p. 11; Section 3.1.2</x:v>
      </x:c>
      <x:c r="V105" s="6" t="str">
        <x:v>Our zero-shot template is a direct implementation of this structured methodology.</x:v>
      </x:c>
      <x:c r="W105" s="6" t="str">
        <x:v>同上。</x:v>
      </x:c>
      <x:c r="X105" s="6" t="str">
        <x:v>NA</x:v>
      </x:c>
    </x:row>
    <x:row r="106" ht="76" customHeight="1">
      <x:c r="A106" s="2" t="str">
        <x:v>S13</x:v>
      </x:c>
      <x:c r="B106" s="2" t="str">
        <x:v>S13-CF12</x:v>
      </x:c>
      <x:c r="C106" s="2" t="str">
        <x:v>S13-MU06</x:v>
      </x:c>
      <x:c r="D106" s="2" t="str">
        <x:v>S13-O02</x:v>
      </x:c>
      <x:c r="E106" s="2" t="str">
        <x:v>Prompting</x:v>
      </x:c>
      <x:c r="F106" s="2" t="str">
        <x:v>Few-shot Prompt Template (C-to-R)</x:v>
      </x:c>
      <x:c r="G106" s="2" t="str">
        <x:v>FS-C2R</x:v>
      </x:c>
      <x:c r="H106" s="6" t="str">
        <x:v>同F10。</x:v>
      </x:c>
      <x:c r="I106" s="2" t="str">
        <x:v>Yes</x:v>
      </x:c>
      <x:c r="J106" s="2"/>
      <x:c r="K106" s="6" t="str">
        <x:v>Prompt design</x:v>
      </x:c>
      <x:c r="L106" s="2" t="str">
        <x:v>Few-shot/in-context examples</x:v>
      </x:c>
      <x:c r="M106" s="2" t="str">
        <x:v>Few-shot/in-context examples; Structured/template prompting</x:v>
      </x:c>
      <x:c r="N106" s="2" t="str">
        <x:v>Yes</x:v>
      </x:c>
      <x:c r="O106" s="2" t="str">
        <x:v>Full prompt reported</x:v>
      </x:c>
      <x:c r="P106" s="2" t="str">
        <x:v>1</x:v>
      </x:c>
      <x:c r="Q106" s="2" t="str">
        <x:v>No</x:v>
      </x:c>
      <x:c r="R106" s="2" t="str">
        <x:v>No</x:v>
      </x:c>
      <x:c r="S106" s="2" t="str">
        <x:v>No</x:v>
      </x:c>
      <x:c r="T106" s="2" t="str">
        <x:v>NR</x:v>
      </x:c>
      <x:c r="U106" s="6" t="str">
        <x:v>p. 13; Figure 6</x:v>
      </x:c>
      <x:c r="V106" s="6" t="str">
        <x:v>Few-shot Prompt Template: Generate Requirement from Code</x:v>
      </x:c>
      <x:c r="W106" s="6" t="str">
        <x:v>同上。</x:v>
      </x:c>
      <x:c r="X106" s="6" t="str">
        <x:v>NA</x:v>
      </x:c>
    </x:row>
    <x:row r="107" ht="76" customHeight="1">
      <x:c r="A107" s="2" t="str">
        <x:v>S13</x:v>
      </x:c>
      <x:c r="B107" s="2" t="str">
        <x:v>S13-CF13</x:v>
      </x:c>
      <x:c r="C107" s="2" t="str">
        <x:v>S13-MU07</x:v>
      </x:c>
      <x:c r="D107" s="2" t="str">
        <x:v>S13-O02</x:v>
      </x:c>
      <x:c r="E107" s="2" t="str">
        <x:v>Prompting</x:v>
      </x:c>
      <x:c r="F107" s="2" t="str">
        <x:v>Zero-shot Prompt Template (C-to-R)</x:v>
      </x:c>
      <x:c r="G107" s="2" t="str">
        <x:v>ZS-C2R</x:v>
      </x:c>
      <x:c r="H107" s="6" t="str">
        <x:v>同F9。</x:v>
      </x:c>
      <x:c r="I107" s="2" t="str">
        <x:v>Yes</x:v>
      </x:c>
      <x:c r="J107" s="2"/>
      <x:c r="K107" s="6" t="str">
        <x:v>Prompt design</x:v>
      </x:c>
      <x:c r="L107" s="2" t="str">
        <x:v>Few-shot/in-context examples</x:v>
      </x:c>
      <x:c r="M107" s="2" t="str">
        <x:v>Few-shot/in-context examples; Structured/template prompting; Zero-shot prompting</x:v>
      </x:c>
      <x:c r="N107" s="2" t="str">
        <x:v>Yes</x:v>
      </x:c>
      <x:c r="O107" s="2" t="str">
        <x:v>Full prompt reported</x:v>
      </x:c>
      <x:c r="P107" s="2" t="str">
        <x:v>0</x:v>
      </x:c>
      <x:c r="Q107" s="2" t="str">
        <x:v>No</x:v>
      </x:c>
      <x:c r="R107" s="2" t="str">
        <x:v>No</x:v>
      </x:c>
      <x:c r="S107" s="2" t="str">
        <x:v>No</x:v>
      </x:c>
      <x:c r="T107" s="2" t="str">
        <x:v>NR</x:v>
      </x:c>
      <x:c r="U107" s="6" t="str">
        <x:v>p. 11; Section 3.1.2</x:v>
      </x:c>
      <x:c r="V107" s="6" t="str">
        <x:v>Our zero-shot template is a direct implementation of this structured methodology.</x:v>
      </x:c>
      <x:c r="W107" s="6" t="str">
        <x:v>同上。</x:v>
      </x:c>
      <x:c r="X107" s="6" t="str">
        <x:v>NA</x:v>
      </x:c>
    </x:row>
    <x:row r="108" ht="76" customHeight="1">
      <x:c r="A108" s="2" t="str">
        <x:v>S13</x:v>
      </x:c>
      <x:c r="B108" s="2" t="str">
        <x:v>S13-CF14</x:v>
      </x:c>
      <x:c r="C108" s="2" t="str">
        <x:v>S13-MU07</x:v>
      </x:c>
      <x:c r="D108" s="2" t="str">
        <x:v>S13-O02</x:v>
      </x:c>
      <x:c r="E108" s="2" t="str">
        <x:v>Prompting</x:v>
      </x:c>
      <x:c r="F108" s="2" t="str">
        <x:v>Few-shot Prompt Template (C-to-R)</x:v>
      </x:c>
      <x:c r="G108" s="2" t="str">
        <x:v>FS-C2R</x:v>
      </x:c>
      <x:c r="H108" s="6" t="str">
        <x:v>同F10。</x:v>
      </x:c>
      <x:c r="I108" s="2" t="str">
        <x:v>Yes</x:v>
      </x:c>
      <x:c r="J108" s="2"/>
      <x:c r="K108" s="6" t="str">
        <x:v>Prompt design</x:v>
      </x:c>
      <x:c r="L108" s="2" t="str">
        <x:v>Few-shot/in-context examples</x:v>
      </x:c>
      <x:c r="M108" s="2" t="str">
        <x:v>Few-shot/in-context examples; Structured/template prompting</x:v>
      </x:c>
      <x:c r="N108" s="2" t="str">
        <x:v>Yes</x:v>
      </x:c>
      <x:c r="O108" s="2" t="str">
        <x:v>Full prompt reported</x:v>
      </x:c>
      <x:c r="P108" s="2" t="str">
        <x:v>1</x:v>
      </x:c>
      <x:c r="Q108" s="2" t="str">
        <x:v>No</x:v>
      </x:c>
      <x:c r="R108" s="2" t="str">
        <x:v>No</x:v>
      </x:c>
      <x:c r="S108" s="2" t="str">
        <x:v>No</x:v>
      </x:c>
      <x:c r="T108" s="2" t="str">
        <x:v>NR</x:v>
      </x:c>
      <x:c r="U108" s="6" t="str">
        <x:v>p. 13; Figure 6</x:v>
      </x:c>
      <x:c r="V108" s="6" t="str">
        <x:v>Few-shot Prompt Template: Generate Requirement from Code</x:v>
      </x:c>
      <x:c r="W108" s="6" t="str">
        <x:v>同上。</x:v>
      </x:c>
      <x:c r="X108" s="6" t="str">
        <x:v>NA</x:v>
      </x:c>
    </x:row>
    <x:row r="109" ht="76" customHeight="1">
      <x:c r="A109" s="2" t="str">
        <x:v>S13</x:v>
      </x:c>
      <x:c r="B109" s="2" t="str">
        <x:v>S13-CF15</x:v>
      </x:c>
      <x:c r="C109" s="2" t="str">
        <x:v>S13-MU08</x:v>
      </x:c>
      <x:c r="D109" s="2" t="str">
        <x:v>S13-O02</x:v>
      </x:c>
      <x:c r="E109" s="2" t="str">
        <x:v>Prompting</x:v>
      </x:c>
      <x:c r="F109" s="2" t="str">
        <x:v>Zero-shot Prompt Template (C-to-R)</x:v>
      </x:c>
      <x:c r="G109" s="2" t="str">
        <x:v>ZS-C2R</x:v>
      </x:c>
      <x:c r="H109" s="6" t="str">
        <x:v>同F9。</x:v>
      </x:c>
      <x:c r="I109" s="2" t="str">
        <x:v>Yes</x:v>
      </x:c>
      <x:c r="J109" s="2"/>
      <x:c r="K109" s="6" t="str">
        <x:v>Prompt design</x:v>
      </x:c>
      <x:c r="L109" s="2" t="str">
        <x:v>Few-shot/in-context examples</x:v>
      </x:c>
      <x:c r="M109" s="2" t="str">
        <x:v>Few-shot/in-context examples; Structured/template prompting; Zero-shot prompting</x:v>
      </x:c>
      <x:c r="N109" s="2" t="str">
        <x:v>Yes</x:v>
      </x:c>
      <x:c r="O109" s="2" t="str">
        <x:v>Full prompt reported</x:v>
      </x:c>
      <x:c r="P109" s="2" t="str">
        <x:v>0</x:v>
      </x:c>
      <x:c r="Q109" s="2" t="str">
        <x:v>No</x:v>
      </x:c>
      <x:c r="R109" s="2" t="str">
        <x:v>No</x:v>
      </x:c>
      <x:c r="S109" s="2" t="str">
        <x:v>No</x:v>
      </x:c>
      <x:c r="T109" s="2" t="str">
        <x:v>NR</x:v>
      </x:c>
      <x:c r="U109" s="6" t="str">
        <x:v>p. 11; Section 3.1.2</x:v>
      </x:c>
      <x:c r="V109" s="6" t="str">
        <x:v>Our zero-shot template is a direct implementation of this structured methodology.</x:v>
      </x:c>
      <x:c r="W109" s="6" t="str">
        <x:v>同上。</x:v>
      </x:c>
      <x:c r="X109" s="6" t="str">
        <x:v>NA</x:v>
      </x:c>
    </x:row>
    <x:row r="110" ht="76" customHeight="1">
      <x:c r="A110" s="2" t="str">
        <x:v>S13</x:v>
      </x:c>
      <x:c r="B110" s="2" t="str">
        <x:v>S13-CF16</x:v>
      </x:c>
      <x:c r="C110" s="2" t="str">
        <x:v>S13-MU08</x:v>
      </x:c>
      <x:c r="D110" s="2" t="str">
        <x:v>S13-O02</x:v>
      </x:c>
      <x:c r="E110" s="2" t="str">
        <x:v>Prompting</x:v>
      </x:c>
      <x:c r="F110" s="2" t="str">
        <x:v>Few-shot Prompt Template (C-to-R)</x:v>
      </x:c>
      <x:c r="G110" s="2" t="str">
        <x:v>FS-C2R</x:v>
      </x:c>
      <x:c r="H110" s="6" t="str">
        <x:v>同F10。</x:v>
      </x:c>
      <x:c r="I110" s="2" t="str">
        <x:v>Yes</x:v>
      </x:c>
      <x:c r="J110" s="2"/>
      <x:c r="K110" s="6" t="str">
        <x:v>Prompt design</x:v>
      </x:c>
      <x:c r="L110" s="2" t="str">
        <x:v>Few-shot/in-context examples</x:v>
      </x:c>
      <x:c r="M110" s="2" t="str">
        <x:v>Few-shot/in-context examples; Structured/template prompting</x:v>
      </x:c>
      <x:c r="N110" s="2" t="str">
        <x:v>Yes</x:v>
      </x:c>
      <x:c r="O110" s="2" t="str">
        <x:v>Full prompt reported</x:v>
      </x:c>
      <x:c r="P110" s="2" t="str">
        <x:v>1</x:v>
      </x:c>
      <x:c r="Q110" s="2" t="str">
        <x:v>No</x:v>
      </x:c>
      <x:c r="R110" s="2" t="str">
        <x:v>No</x:v>
      </x:c>
      <x:c r="S110" s="2" t="str">
        <x:v>No</x:v>
      </x:c>
      <x:c r="T110" s="2" t="str">
        <x:v>NR</x:v>
      </x:c>
      <x:c r="U110" s="6" t="str">
        <x:v>p. 13; Figure 6</x:v>
      </x:c>
      <x:c r="V110" s="6" t="str">
        <x:v>Few-shot Prompt Template: Generate Requirement from Code</x:v>
      </x:c>
      <x:c r="W110" s="6" t="str">
        <x:v>同上。</x:v>
      </x:c>
      <x:c r="X110" s="6" t="str">
        <x:v>NA</x:v>
      </x:c>
    </x:row>
    <x:row r="111" ht="76" customHeight="1">
      <x:c r="A111" s="2" t="str">
        <x:v>S14</x:v>
      </x:c>
      <x:c r="B111" s="2" t="str">
        <x:v>S14-CF01</x:v>
      </x:c>
      <x:c r="C111" s="2" t="str">
        <x:v>S14-MU01</x:v>
      </x:c>
      <x:c r="D111" s="2" t="str">
        <x:v>S14-O01</x:v>
      </x:c>
      <x:c r="E111" s="2" t="str">
        <x:v>Prompting</x:v>
      </x:c>
      <x:c r="F111" s="2" t="str">
        <x:v>Prompt Template</x:v>
      </x:c>
      <x:c r="G111" s="2" t="str">
        <x:v>prompt_template</x:v>
      </x:c>
      <x:c r="H111" s="6" t="str">
        <x:v>使用固定的系统指令和包含需求、代码及附加信息的提示模板，要求模型仅回答 Yes 或 No。</x:v>
      </x:c>
      <x:c r="I111" s="2" t="str">
        <x:v>Yes</x:v>
      </x:c>
      <x:c r="J111" s="2"/>
      <x:c r="K111" s="6" t="str">
        <x:v>Prompt design</x:v>
      </x:c>
      <x:c r="L111" s="2" t="str">
        <x:v>Structured/template prompting</x:v>
      </x:c>
      <x:c r="M111" s="2" t="str">
        <x:v>Structured/template prompting</x:v>
      </x:c>
      <x:c r="N111" s="2" t="str">
        <x:v>Yes</x:v>
      </x:c>
      <x:c r="O111" s="2" t="str">
        <x:v>Template reported</x:v>
      </x:c>
      <x:c r="P111" s="2" t="str">
        <x:v>0</x:v>
      </x:c>
      <x:c r="Q111" s="2" t="str">
        <x:v>No</x:v>
      </x:c>
      <x:c r="R111" s="2" t="str">
        <x:v>No</x:v>
      </x:c>
      <x:c r="S111" s="2" t="str">
        <x:v>No</x:v>
      </x:c>
      <x:c r="T111" s="2" t="str">
        <x:v>NA</x:v>
      </x:c>
      <x:c r="U111" s="6" t="str">
        <x:v>p. 24; Section 4.3.2 Gemini-All</x:v>
      </x:c>
      <x:c r="V111" s="6" t="str">
        <x:v>Determine if the following Requirements and Code are related. Answer only “Yes” or “No”. Requirements: requirements_text</x:v>
      </x:c>
      <x:c r="W111" s="6" t="str">
        <x:v>提示工程采用零样本模板，未使用示例，通过附加信息注入领域知识。</x:v>
      </x:c>
      <x:c r="X111" s="6" t="str">
        <x:v>NA</x:v>
      </x:c>
    </x:row>
    <x:row r="112" ht="76" customHeight="1">
      <x:c r="A112" s="2" t="str">
        <x:v>S15</x:v>
      </x:c>
      <x:c r="B112" s="2" t="str">
        <x:v>S15-CF01</x:v>
      </x:c>
      <x:c r="C112" s="2" t="str">
        <x:v>S15-MU03</x:v>
      </x:c>
      <x:c r="D112" s="2" t="str">
        <x:v>S15-O01</x:v>
      </x:c>
      <x:c r="E112" s="2" t="str">
        <x:v>Prompting</x:v>
      </x:c>
      <x:c r="F112" s="2" t="str">
        <x:v>Prompt 1 (goal extraction prompt)</x:v>
      </x:c>
      <x:c r="G112" s="2" t="str">
        <x:v>goal-extraction-prompt</x:v>
      </x:c>
      <x:c r="H112" s="6" t="str">
        <x:v>包含角色设定、任务指令和JSON输出格式的提示模板。</x:v>
      </x:c>
      <x:c r="I112" s="2" t="str">
        <x:v>Yes</x:v>
      </x:c>
      <x:c r="J112" s="2"/>
      <x:c r="K112" s="6" t="str">
        <x:v>Prompt design</x:v>
      </x:c>
      <x:c r="L112" s="2" t="str">
        <x:v>Structured/template prompting</x:v>
      </x:c>
      <x:c r="M112" s="2" t="str">
        <x:v>Structured/template prompting</x:v>
      </x:c>
      <x:c r="N112" s="2" t="str">
        <x:v>Yes</x:v>
      </x:c>
      <x:c r="O112" s="2" t="str">
        <x:v>Full prompt reported</x:v>
      </x:c>
      <x:c r="P112" s="2" t="str">
        <x:v>NA</x:v>
      </x:c>
      <x:c r="Q112" s="2" t="str">
        <x:v>No</x:v>
      </x:c>
      <x:c r="R112" s="2" t="str">
        <x:v>No</x:v>
      </x:c>
      <x:c r="S112" s="2" t="str">
        <x:v>No</x:v>
      </x:c>
      <x:c r="T112" s="2" t="str">
        <x:v>NR</x:v>
      </x:c>
      <x:c r="U112" s="6" t="str">
        <x:v>p. 4; Figure 3</x:v>
      </x:c>
      <x:c r="V112" s="6" t="str">
        <x:v>Read the following interview transcript excerpt and respond with any goals that the speaker expresses. A</x:v>
      </x:c>
      <x:c r="W112" s="6" t="str">
        <x:v>使用明确的提示模板指导模型以结构化的JSON格式输出目标列表。</x:v>
      </x:c>
      <x:c r="X112" s="6" t="str">
        <x:v>NA</x:v>
      </x:c>
    </x:row>
    <x:row r="113" ht="76" customHeight="1">
      <x:c r="A113" s="2" t="str">
        <x:v>S15</x:v>
      </x:c>
      <x:c r="B113" s="2" t="str">
        <x:v>S15-CF02</x:v>
      </x:c>
      <x:c r="C113" s="2" t="str">
        <x:v>S15-MU03</x:v>
      </x:c>
      <x:c r="D113" s="2" t="str">
        <x:v>S15-O01</x:v>
      </x:c>
      <x:c r="E113" s="2" t="str">
        <x:v>Output constraint</x:v>
      </x:c>
      <x:c r="F113" s="2" t="str">
        <x:v>goal generalization instruction</x:v>
      </x:c>
      <x:c r="G113" s="2" t="str">
        <x:v>goal-generalization-constraint</x:v>
      </x:c>
      <x:c r="H113" s="6" t="str">
        <x:v>在提示中加入指令，要求目标描述不包含特定应用、产品或服务的引用，以生成领域无关的目标。</x:v>
      </x:c>
      <x:c r="I113" s="2" t="str">
        <x:v>Yes</x:v>
      </x:c>
      <x:c r="J113" s="2"/>
      <x:c r="K113" s="6" t="str">
        <x:v>Output specification</x:v>
      </x:c>
      <x:c r="L113" s="2" t="str">
        <x:v>Content constraint</x:v>
      </x:c>
      <x:c r="M113" s="2"/>
      <x:c r="N113" s="2" t="str">
        <x:v>Yes</x:v>
      </x:c>
      <x:c r="O113" s="2" t="str">
        <x:v>Partial description</x:v>
      </x:c>
      <x:c r="P113" s="2" t="str">
        <x:v>NA</x:v>
      </x:c>
      <x:c r="Q113" s="2" t="str">
        <x:v>No</x:v>
      </x:c>
      <x:c r="R113" s="2" t="str">
        <x:v>No</x:v>
      </x:c>
      <x:c r="S113" s="2" t="str">
        <x:v>No</x:v>
      </x:c>
      <x:c r="T113" s="2" t="str">
        <x:v>NR</x:v>
      </x:c>
      <x:c r="U113" s="6" t="str">
        <x:v>p. 3; Section III-B</x:v>
      </x:c>
      <x:c r="V113" s="6" t="str">
        <x:v>by replacing the italicized sentence in Figure 3 with “Do not include references to applications, products or services</x:v>
      </x:c>
      <x:c r="W113" s="6" t="str">
        <x:v>通过修改提示词强制模型生成抽象程度更高的目标，以评估泛化效果。</x:v>
      </x:c>
      <x:c r="X113" s="6" t="str">
        <x:v>NA</x:v>
      </x:c>
    </x:row>
    <x:row r="114" ht="76" customHeight="1">
      <x:c r="A114" s="2" t="str">
        <x:v>S15</x:v>
      </x:c>
      <x:c r="B114" s="2" t="str">
        <x:v>S15-CF03</x:v>
      </x:c>
      <x:c r="C114" s="2" t="str">
        <x:v>S15-MU03</x:v>
      </x:c>
      <x:c r="D114" s="2" t="str">
        <x:v>S15-O01</x:v>
      </x:c>
      <x:c r="E114" s="2" t="str">
        <x:v>Calling and orchestration</x:v>
      </x:c>
      <x:c r="F114" s="2" t="str">
        <x:v>repeated sampling</x:v>
      </x:c>
      <x:c r="G114" s="2" t="str">
        <x:v>repeated-sampling</x:v>
      </x:c>
      <x:c r="H114" s="6" t="str">
        <x:v>对同一访谈记录执行10次目标提取，利用温度引起的随机性增加目标覆盖范围，随后通过聚类去除重复。</x:v>
      </x:c>
      <x:c r="I114" s="2" t="str">
        <x:v>Yes</x:v>
      </x:c>
      <x:c r="J114" s="2"/>
      <x:c r="K114" s="6" t="str">
        <x:v>Invocation control</x:v>
      </x:c>
      <x:c r="L114" s="2" t="str">
        <x:v>Repeated sampling</x:v>
      </x:c>
      <x:c r="M114" s="2"/>
      <x:c r="N114" s="2" t="str">
        <x:v>NA</x:v>
      </x:c>
      <x:c r="O114" s="2" t="str">
        <x:v>Not reported</x:v>
      </x:c>
      <x:c r="P114" s="2" t="str">
        <x:v>NA</x:v>
      </x:c>
      <x:c r="Q114" s="2" t="str">
        <x:v>NR</x:v>
      </x:c>
      <x:c r="R114" s="2" t="str">
        <x:v>NR</x:v>
      </x:c>
      <x:c r="S114" s="2" t="str">
        <x:v>No</x:v>
      </x:c>
      <x:c r="T114" s="2" t="str">
        <x:v>循环调用10次，收集全部结果后再进行聚类。</x:v>
      </x:c>
      <x:c r="U114" s="6" t="str">
        <x:v>p. 1; Section I</x:v>
      </x:c>
      <x:c r="V114" s="6" t="str">
        <x:v>the goal extraction step is performed 10 times to increase the likelihood that the extracted goals will represent any random sampling of the model during this step.</x:v>
      </x:c>
      <x:c r="W114" s="6" t="str">
        <x:v>通过多次随机采样缓解LLM的不确定性，提高目标召回率。</x:v>
      </x:c>
      <x:c r="X114" s="6" t="str">
        <x:v>NA</x:v>
      </x:c>
    </x:row>
    <x:row r="115" ht="76" customHeight="1">
      <x:c r="A115" s="2" t="str">
        <x:v>S15</x:v>
      </x:c>
      <x:c r="B115" s="2" t="str">
        <x:v>S15-CF04</x:v>
      </x:c>
      <x:c r="C115" s="2" t="str">
        <x:v>S15-MU03</x:v>
      </x:c>
      <x:c r="D115" s="2" t="str">
        <x:v>S15-O01</x:v>
      </x:c>
      <x:c r="E115" s="2" t="str">
        <x:v>Context construction</x:v>
      </x:c>
      <x:c r="F115" s="2" t="str">
        <x:v>extraction window</x:v>
      </x:c>
      <x:c r="G115" s="2" t="str">
        <x:v>extraction-window</x:v>
      </x:c>
      <x:c r="H115" s="6" t="str">
        <x:v>控制输入上下文的大小：整篇转录稿 vs. 滑动窗口（4个说话轮次，步长2轮）。</x:v>
      </x:c>
      <x:c r="I115" s="2" t="str">
        <x:v>Yes</x:v>
      </x:c>
      <x:c r="J115" s="2"/>
      <x:c r="K115" s="6" t="str">
        <x:v>Input and context construction</x:v>
      </x:c>
      <x:c r="L115" s="2" t="str">
        <x:v>Artifact packaging and scope</x:v>
      </x:c>
      <x:c r="M115" s="2"/>
      <x:c r="N115" s="2" t="str">
        <x:v>NA</x:v>
      </x:c>
      <x:c r="O115" s="2" t="str">
        <x:v>Not reported</x:v>
      </x:c>
      <x:c r="P115" s="2" t="str">
        <x:v>NA</x:v>
      </x:c>
      <x:c r="Q115" s="2" t="str">
        <x:v>NR</x:v>
      </x:c>
      <x:c r="R115" s="2" t="str">
        <x:v>NR</x:v>
      </x:c>
      <x:c r="S115" s="2" t="str">
        <x:v>No</x:v>
      </x:c>
      <x:c r="T115" s="2" t="str">
        <x:v>NA</x:v>
      </x:c>
      <x:c r="U115" s="6" t="str">
        <x:v>p. 3; Section III-B</x:v>
      </x:c>
      <x:c r="V115" s="6" t="str">
        <x:v>we conducted a comparative evaluation of prompting using a window of length equal to the whole transcript, versus a moving window with length equal to four turns that moves by increments of two turns.</x:v>
      </x:c>
      <x:c r="W115" s="6" t="str">
        <x:v>探索不同大小的上下文对目标提取质量和偏差的影响。</x:v>
      </x:c>
      <x:c r="X115" s="6" t="str">
        <x:v>NR</x:v>
      </x:c>
    </x:row>
    <x:row r="116" ht="76" customHeight="1">
      <x:c r="A116" s="2" t="str">
        <x:v>S15</x:v>
      </x:c>
      <x:c r="B116" s="2" t="str">
        <x:v>S15-CF05</x:v>
      </x:c>
      <x:c r="C116" s="2" t="str">
        <x:v>S15-MU03</x:v>
      </x:c>
      <x:c r="D116" s="2" t="str">
        <x:v>S15-O02</x:v>
      </x:c>
      <x:c r="E116" s="2" t="str">
        <x:v>Prompting</x:v>
      </x:c>
      <x:c r="F116" s="2" t="str">
        <x:v>Prompt 2 (traceability prompt)</x:v>
      </x:c>
      <x:c r="G116" s="2" t="str">
        <x:v>traceability-prompt</x:v>
      </x:c>
      <x:c r="H116" s="6" t="str">
        <x:v>要求模型将已提取的目标与转录稿中的具体短语关联，并以指定的JSON格式返回结果。</x:v>
      </x:c>
      <x:c r="I116" s="2" t="str">
        <x:v>Yes</x:v>
      </x:c>
      <x:c r="J116" s="2"/>
      <x:c r="K116" s="6" t="str">
        <x:v>Prompt design</x:v>
      </x:c>
      <x:c r="L116" s="2" t="str">
        <x:v>Structured/template prompting</x:v>
      </x:c>
      <x:c r="M116" s="2" t="str">
        <x:v>Structured/template prompting</x:v>
      </x:c>
      <x:c r="N116" s="2" t="str">
        <x:v>Yes</x:v>
      </x:c>
      <x:c r="O116" s="2" t="str">
        <x:v>Full prompt reported</x:v>
      </x:c>
      <x:c r="P116" s="2" t="str">
        <x:v>NA</x:v>
      </x:c>
      <x:c r="Q116" s="2" t="str">
        <x:v>No</x:v>
      </x:c>
      <x:c r="R116" s="2" t="str">
        <x:v>No</x:v>
      </x:c>
      <x:c r="S116" s="2" t="str">
        <x:v>No</x:v>
      </x:c>
      <x:c r="T116" s="2" t="str">
        <x:v>NR</x:v>
      </x:c>
      <x:c r="U116" s="6" t="str">
        <x:v>p. 4; Figure 4</x:v>
      </x:c>
      <x:c r="V116" s="6" t="str">
        <x:v>the substrings in the interview transcript excerpt from which the goals were generated. Respond in JSON using the</x:v>
      </x:c>
      <x:c r="W116" s="6" t="str">
        <x:v>明确的输出格式约束有利于自动化解析，并强制模型建立可解释的追溯。</x:v>
      </x:c>
      <x:c r="X116" s="6" t="str">
        <x:v>NA</x:v>
      </x:c>
    </x:row>
    <x:row r="117" ht="76" customHeight="1">
      <x:c r="A117" s="2" t="str">
        <x:v>S15</x:v>
      </x:c>
      <x:c r="B117" s="2" t="str">
        <x:v>S15-CF06</x:v>
      </x:c>
      <x:c r="C117" s="2" t="str">
        <x:v>S15-MU03</x:v>
      </x:c>
      <x:c r="D117" s="2" t="str">
        <x:v>S15-O03</x:v>
      </x:c>
      <x:c r="E117" s="2" t="str">
        <x:v>Prompting</x:v>
      </x:c>
      <x:c r="F117" s="2" t="str">
        <x:v>Prompt 3 (goal model generation)</x:v>
      </x:c>
      <x:c r="G117" s="2" t="str">
        <x:v>goal-model-prompt</x:v>
      </x:c>
      <x:c r="H117" s="6" t="str">
        <x:v>结合“计划-求解”和“程序辅助语言”策略，要求模型先规划再编写代码，包括定义隐含目标、生成精化边，并提供一次性示例调用。</x:v>
      </x:c>
      <x:c r="I117" s="2" t="str">
        <x:v>Yes</x:v>
      </x:c>
      <x:c r="J117" s="2"/>
      <x:c r="K117" s="6" t="str">
        <x:v>Prompt design</x:v>
      </x:c>
      <x:c r="L117" s="2" t="str">
        <x:v>Task-specific prompting</x:v>
      </x:c>
      <x:c r="M117" s="2"/>
      <x:c r="N117" s="2" t="str">
        <x:v>Yes</x:v>
      </x:c>
      <x:c r="O117" s="2" t="str">
        <x:v>Full prompt reported</x:v>
      </x:c>
      <x:c r="P117" s="2" t="str">
        <x:v>1</x:v>
      </x:c>
      <x:c r="Q117" s="2" t="str">
        <x:v>No</x:v>
      </x:c>
      <x:c r="R117" s="2" t="str">
        <x:v>No</x:v>
      </x:c>
      <x:c r="S117" s="2" t="str">
        <x:v>No</x:v>
      </x:c>
      <x:c r="T117" s="2" t="str">
        <x:v>NR</x:v>
      </x:c>
      <x:c r="U117" s="6" t="str">
        <x:v>p. 6; Figure 6</x:v>
      </x:c>
      <x:c r="V117" s="6" t="str">
        <x:v>Read the following Python code that describes an initial goal model and complete the code using the following function calls. Before completing the code, perform the following steps: 1) read all of the goals and describe what the software application is and does;</x:v>
      </x:c>
      <x:c r="W117" s="6" t="str">
        <x:v>提示中嵌入了详细的思维链步骤和一个函数调用示例，引导模型生成可编译执行的图结构代码。</x:v>
      </x:c>
      <x:c r="X117" s="6" t="str">
        <x:v>NR</x:v>
      </x:c>
    </x:row>
    <x:row r="118" ht="76" customHeight="1">
      <x:c r="A118" s="2" t="str">
        <x:v>S15</x:v>
      </x:c>
      <x:c r="B118" s="2" t="str">
        <x:v>S15-CF07</x:v>
      </x:c>
      <x:c r="C118" s="2" t="str">
        <x:v>S15-MU03</x:v>
      </x:c>
      <x:c r="D118" s="2" t="str">
        <x:v>S15-O03</x:v>
      </x:c>
      <x:c r="E118" s="2" t="str">
        <x:v>Output constraint</x:v>
      </x:c>
      <x:c r="F118" s="2" t="str">
        <x:v>code validation and re-generation</x:v>
      </x:c>
      <x:c r="G118" s="2" t="str">
        <x:v>code-validation</x:v>
      </x:c>
      <x:c r="H118" s="6" t="str">
        <x:v>对生成的Python代码进行编译和环检测，无效时重新生成。</x:v>
      </x:c>
      <x:c r="I118" s="2" t="str">
        <x:v>No</x:v>
      </x:c>
      <x:c r="J118" s="2" t="str">
        <x:v>External workflow control or validation is analysed under RQ5 rather than as an LLM-side configuration.</x:v>
      </x:c>
      <x:c r="K118" s="6" t="str">
        <x:v>RQ5 boundary record</x:v>
      </x:c>
      <x:c r="L118" s="2" t="str">
        <x:v>External orchestration or validation</x:v>
      </x:c>
      <x:c r="M118" s="2"/>
      <x:c r="N118" s="2" t="str">
        <x:v>NA</x:v>
      </x:c>
      <x:c r="O118" s="2" t="str">
        <x:v>Not reported</x:v>
      </x:c>
      <x:c r="P118" s="2" t="str">
        <x:v>NA</x:v>
      </x:c>
      <x:c r="Q118" s="2" t="str">
        <x:v>NR</x:v>
      </x:c>
      <x:c r="R118" s="2" t="str">
        <x:v>NR</x:v>
      </x:c>
      <x:c r="S118" s="2" t="str">
        <x:v>No</x:v>
      </x:c>
      <x:c r="T118" s="2" t="str">
        <x:v>在代码编译失败或包含环时触发重新生成。</x:v>
      </x:c>
      <x:c r="U118" s="6" t="str">
        <x:v>p. 6; Section III-D</x:v>
      </x:c>
      <x:c r="V118" s="6" t="str">
        <x:v>During each generation, if a model does not compile or the model contains cycles, we re-generate that goal model.</x:v>
      </x:c>
      <x:c r="W118" s="6" t="str">
        <x:v>通过后处理验证强制输出满足有向无环图约束，提高模型可用性。</x:v>
      </x:c>
      <x:c r="X118" s="6" t="str">
        <x:v>NA</x:v>
      </x:c>
    </x:row>
    <x:row r="119" ht="76" customHeight="1">
      <x:c r="A119" s="2" t="str">
        <x:v>S16</x:v>
      </x:c>
      <x:c r="B119" s="2" t="str">
        <x:v>S16-CF01</x:v>
      </x:c>
      <x:c r="C119" s="2" t="str">
        <x:v>S16-MU01</x:v>
      </x:c>
      <x:c r="D119" s="2" t="str">
        <x:v>S16-O01</x:v>
      </x:c>
      <x:c r="E119" s="2" t="str">
        <x:v>Prompting</x:v>
      </x:c>
      <x:c r="F119" s="2" t="str">
        <x:v>structured prompt</x:v>
      </x:c>
      <x:c r="G119" s="2" t="str">
        <x:v>structured_prompt</x:v>
      </x:c>
      <x:c r="H119" s="6" t="str">
        <x:v>零样本提示，包含issue的summary和description，以及top-10 commits的ID和message，要求LLM输出按相关性降序排列的commit ID列表，指定输出格式。</x:v>
      </x:c>
      <x:c r="I119" s="2" t="str">
        <x:v>Yes</x:v>
      </x:c>
      <x:c r="J119" s="2"/>
      <x:c r="K119" s="6" t="str">
        <x:v>Prompt design</x:v>
      </x:c>
      <x:c r="L119" s="2" t="str">
        <x:v>Few-shot/in-context examples</x:v>
      </x:c>
      <x:c r="M119" s="2" t="str">
        <x:v>Few-shot/in-context examples; Structured/template prompting</x:v>
      </x:c>
      <x:c r="N119" s="2" t="str">
        <x:v>Yes</x:v>
      </x:c>
      <x:c r="O119" s="2" t="str">
        <x:v>Template reported</x:v>
      </x:c>
      <x:c r="P119" s="2" t="str">
        <x:v>0</x:v>
      </x:c>
      <x:c r="Q119" s="2" t="str">
        <x:v>No</x:v>
      </x:c>
      <x:c r="R119" s="2" t="str">
        <x:v>No</x:v>
      </x:c>
      <x:c r="S119" s="2" t="str">
        <x:v>No</x:v>
      </x:c>
      <x:c r="T119" s="2" t="str">
        <x:v>NR</x:v>
      </x:c>
      <x:c r="U119" s="6" t="str">
        <x:v>p. 6; Section 4.2 LLM-Assisted Reranking</x:v>
      </x:c>
      <x:c r="V119" s="6" t="str">
        <x:v>we adopt a zero-shot approach guided by prompts with ChatGPT (gpt-4o)</x:v>
      </x:c>
      <x:c r="W119" s="6" t="str">
        <x:v>使用了精心设计的零样本提示模板，包含issue文本和候选commit信息，并要求特定输出格式。</x:v>
      </x:c>
      <x:c r="X119" s="6" t="str">
        <x:v>The prompt template is shown in Figure 3.</x:v>
      </x:c>
    </x:row>
    <x:row r="120" ht="76" customHeight="1">
      <x:c r="A120" s="2" t="str">
        <x:v>S17</x:v>
      </x:c>
      <x:c r="B120" s="2" t="str">
        <x:v>S17-CF01</x:v>
      </x:c>
      <x:c r="C120" s="2" t="str">
        <x:v>S17-MU01</x:v>
      </x:c>
      <x:c r="D120" s="2" t="str">
        <x:v>S17-O01</x:v>
      </x:c>
      <x:c r="E120" s="2" t="str">
        <x:v>Prompting</x:v>
      </x:c>
      <x:c r="F120" s="2" t="str">
        <x:v>Few-shot UCA Prompt Template</x:v>
      </x:c>
      <x:c r="G120" s="2" t="str">
        <x:v>UCA_Prompt_Template</x:v>
      </x:c>
      <x:c r="H120" s="6" t="str">
        <x:v>包含损失、危害、少样本示例和UCA描述的提示模板，指导LLM一次性生成多个带危害链接的UCA。</x:v>
      </x:c>
      <x:c r="I120" s="2" t="str">
        <x:v>Yes</x:v>
      </x:c>
      <x:c r="J120" s="2"/>
      <x:c r="K120" s="6" t="str">
        <x:v>Prompt design</x:v>
      </x:c>
      <x:c r="L120" s="2" t="str">
        <x:v>Few-shot/in-context examples</x:v>
      </x:c>
      <x:c r="M120" s="2" t="str">
        <x:v>Few-shot/in-context examples; Structured/template prompting</x:v>
      </x:c>
      <x:c r="N120" s="2" t="str">
        <x:v>Yes</x:v>
      </x:c>
      <x:c r="O120" s="2" t="str">
        <x:v>Template reported</x:v>
      </x:c>
      <x:c r="P120" s="2" t="str">
        <x:v>NR</x:v>
      </x:c>
      <x:c r="Q120" s="2" t="str">
        <x:v>No</x:v>
      </x:c>
      <x:c r="R120" s="2" t="str">
        <x:v>No</x:v>
      </x:c>
      <x:c r="S120" s="2" t="str">
        <x:v>No</x:v>
      </x:c>
      <x:c r="T120" s="2" t="str">
        <x:v>NA</x:v>
      </x:c>
      <x:c r="U120" s="6" t="str">
        <x:v>p. 7; Section V-A</x:v>
      </x:c>
      <x:c r="V120" s="6" t="str">
        <x:v>the prompt shown in Figure 9 was used to generate unsafe control actions.</x:v>
      </x:c>
      <x:c r="W120" s="6" t="str">
        <x:v>提示以模板形式给出，包含占位符和少样本示例，具体示例数量未明确说明。</x:v>
      </x:c>
      <x:c r="X120" s="6" t="str">
        <x:v>NA</x:v>
      </x:c>
    </x:row>
    <x:row r="121" ht="76" customHeight="1">
      <x:c r="A121" s="2" t="str">
        <x:v>S17</x:v>
      </x:c>
      <x:c r="B121" s="2" t="str">
        <x:v>S17-CF02</x:v>
      </x:c>
      <x:c r="C121" s="2" t="str">
        <x:v>S17-MU01</x:v>
      </x:c>
      <x:c r="D121" s="2" t="str">
        <x:v>S17-O01</x:v>
      </x:c>
      <x:c r="E121" s="2" t="str">
        <x:v>Context construction</x:v>
      </x:c>
      <x:c r="F121" s="2" t="str">
        <x:v>Control Structure Diagram Image Input</x:v>
      </x:c>
      <x:c r="G121" s="2" t="str">
        <x:v>Image_Input</x:v>
      </x:c>
      <x:c r="H121" s="6" t="str">
        <x:v>将控制结构图作为图像输入传递给视觉模型，提供系统整体上下文。</x:v>
      </x:c>
      <x:c r="I121" s="2" t="str">
        <x:v>Yes</x:v>
      </x:c>
      <x:c r="J121" s="2"/>
      <x:c r="K121" s="6" t="str">
        <x:v>Input and context construction</x:v>
      </x:c>
      <x:c r="L121" s="2" t="str">
        <x:v>Multimodal context</x:v>
      </x:c>
      <x:c r="M121" s="2" t="str">
        <x:v>Multimodal context</x:v>
      </x:c>
      <x:c r="N121" s="2" t="str">
        <x:v>NA</x:v>
      </x:c>
      <x:c r="O121" s="2" t="str">
        <x:v>NA</x:v>
      </x:c>
      <x:c r="P121" s="2" t="str">
        <x:v>NA</x:v>
      </x:c>
      <x:c r="Q121" s="2" t="str">
        <x:v>No</x:v>
      </x:c>
      <x:c r="R121" s="2" t="str">
        <x:v>No</x:v>
      </x:c>
      <x:c r="S121" s="2" t="str">
        <x:v>No</x:v>
      </x:c>
      <x:c r="T121" s="2" t="str">
        <x:v>NA</x:v>
      </x:c>
      <x:c r="U121" s="6" t="str">
        <x:v>p. 4; Section IV-A</x:v>
      </x:c>
      <x:c r="V121" s="6" t="str">
        <x:v>we pass an image of the control structure diagram with our prompts</x:v>
      </x:c>
      <x:c r="W121" s="6" t="str">
        <x:v>图像输入为该模型的特有能力，用于提供系统拓扑信息。</x:v>
      </x:c>
      <x:c r="X121" s="6" t="str">
        <x:v>NA</x:v>
      </x:c>
    </x:row>
    <x:row r="122" ht="76" customHeight="1">
      <x:c r="A122" s="2" t="str">
        <x:v>S17</x:v>
      </x:c>
      <x:c r="B122" s="2" t="str">
        <x:v>S17-CF03</x:v>
      </x:c>
      <x:c r="C122" s="2" t="str">
        <x:v>S17-MU02</x:v>
      </x:c>
      <x:c r="D122" s="2" t="str">
        <x:v>S17-O02</x:v>
      </x:c>
      <x:c r="E122" s="2" t="str">
        <x:v>Prompting</x:v>
      </x:c>
      <x:c r="F122" s="2" t="str">
        <x:v>Few-shot Loss Scenario Prompt Template</x:v>
      </x:c>
      <x:c r="G122" s="2" t="str">
        <x:v>LossScenario_Prompt_Template</x:v>
      </x:c>
      <x:c r="H122" s="6" t="str">
        <x:v>包含损失、危害、UCA、少样本示例和损失场景描述的提示模板，指导LLM生成带链接的损失场景。</x:v>
      </x:c>
      <x:c r="I122" s="2" t="str">
        <x:v>Yes</x:v>
      </x:c>
      <x:c r="J122" s="2"/>
      <x:c r="K122" s="6" t="str">
        <x:v>Prompt design</x:v>
      </x:c>
      <x:c r="L122" s="2" t="str">
        <x:v>Few-shot/in-context examples</x:v>
      </x:c>
      <x:c r="M122" s="2" t="str">
        <x:v>Few-shot/in-context examples; Structured/template prompting</x:v>
      </x:c>
      <x:c r="N122" s="2" t="str">
        <x:v>Yes</x:v>
      </x:c>
      <x:c r="O122" s="2" t="str">
        <x:v>Template reported</x:v>
      </x:c>
      <x:c r="P122" s="2" t="str">
        <x:v>NR</x:v>
      </x:c>
      <x:c r="Q122" s="2" t="str">
        <x:v>No</x:v>
      </x:c>
      <x:c r="R122" s="2" t="str">
        <x:v>No</x:v>
      </x:c>
      <x:c r="S122" s="2" t="str">
        <x:v>No</x:v>
      </x:c>
      <x:c r="T122" s="2" t="str">
        <x:v>NA</x:v>
      </x:c>
      <x:c r="U122" s="6" t="str">
        <x:v>p. 7; Section V-A</x:v>
      </x:c>
      <x:c r="V122" s="6" t="str">
        <x:v>we used the prompt shown in Figure 10 with the control structure diagram in Figure 2 as an image to generate 50 loss scenarios.</x:v>
      </x:c>
      <x:c r="W122" s="6" t="str">
        <x:v>提示模板结构清晰，但少样本数量未明确报告。</x:v>
      </x:c>
      <x:c r="X122" s="6" t="str">
        <x:v>NA</x:v>
      </x:c>
    </x:row>
    <x:row r="123" ht="76" customHeight="1">
      <x:c r="A123" s="2" t="str">
        <x:v>S17</x:v>
      </x:c>
      <x:c r="B123" s="2" t="str">
        <x:v>S17-CF04</x:v>
      </x:c>
      <x:c r="C123" s="2" t="str">
        <x:v>S17-MU02</x:v>
      </x:c>
      <x:c r="D123" s="2" t="str">
        <x:v>S17-O02</x:v>
      </x:c>
      <x:c r="E123" s="2" t="str">
        <x:v>Context construction</x:v>
      </x:c>
      <x:c r="F123" s="2" t="str">
        <x:v>Control Structure Diagram Image Input</x:v>
      </x:c>
      <x:c r="G123" s="2" t="str">
        <x:v>Image_Input</x:v>
      </x:c>
      <x:c r="H123" s="6" t="str">
        <x:v>损失场景生成时同样将控制结构图作为图像输入。</x:v>
      </x:c>
      <x:c r="I123" s="2" t="str">
        <x:v>Yes</x:v>
      </x:c>
      <x:c r="J123" s="2"/>
      <x:c r="K123" s="6" t="str">
        <x:v>Input and context construction</x:v>
      </x:c>
      <x:c r="L123" s="2" t="str">
        <x:v>Multimodal context</x:v>
      </x:c>
      <x:c r="M123" s="2" t="str">
        <x:v>Multimodal context</x:v>
      </x:c>
      <x:c r="N123" s="2" t="str">
        <x:v>NA</x:v>
      </x:c>
      <x:c r="O123" s="2" t="str">
        <x:v>NA</x:v>
      </x:c>
      <x:c r="P123" s="2" t="str">
        <x:v>NA</x:v>
      </x:c>
      <x:c r="Q123" s="2" t="str">
        <x:v>No</x:v>
      </x:c>
      <x:c r="R123" s="2" t="str">
        <x:v>No</x:v>
      </x:c>
      <x:c r="S123" s="2" t="str">
        <x:v>No</x:v>
      </x:c>
      <x:c r="T123" s="2" t="str">
        <x:v>NA</x:v>
      </x:c>
      <x:c r="U123" s="6" t="str">
        <x:v>p. 4; Section IV-A</x:v>
      </x:c>
      <x:c r="V123" s="6" t="str">
        <x:v>we pass an image of the control structure diagram with our prompts</x:v>
      </x:c>
      <x:c r="W123" s="6" t="str">
        <x:v>与UCA生成共享相同的图像上下文机制。</x:v>
      </x:c>
      <x:c r="X123" s="6" t="str">
        <x:v>NA</x:v>
      </x:c>
    </x:row>
    <x:row r="124" ht="76" customHeight="1">
      <x:c r="A124" s="2" t="str">
        <x:v>S17</x:v>
      </x:c>
      <x:c r="B124" s="2" t="str">
        <x:v>S17-CF05</x:v>
      </x:c>
      <x:c r="C124" s="2" t="str">
        <x:v>S17-MU03</x:v>
      </x:c>
      <x:c r="D124" s="2" t="str">
        <x:v>S17-O03</x:v>
      </x:c>
      <x:c r="E124" s="2" t="str">
        <x:v>Prompting</x:v>
      </x:c>
      <x:c r="F124" s="2" t="str">
        <x:v>Link Recommendation Prompt</x:v>
      </x:c>
      <x:c r="G124" s="2" t="str">
        <x:v>Link_Recommendation_Prompt</x:v>
      </x:c>
      <x:c r="H124" s="6" t="str">
        <x:v>对每一对危害-损失，LLM被提示判断是否应推荐建立链接，具体提示未公开。</x:v>
      </x:c>
      <x:c r="I124" s="2" t="str">
        <x:v>Yes</x:v>
      </x:c>
      <x:c r="J124" s="2"/>
      <x:c r="K124" s="6" t="str">
        <x:v>Prompt design</x:v>
      </x:c>
      <x:c r="L124" s="2" t="str">
        <x:v>Task-specific prompting</x:v>
      </x:c>
      <x:c r="M124" s="2"/>
      <x:c r="N124" s="2" t="str">
        <x:v>No</x:v>
      </x:c>
      <x:c r="O124" s="2" t="str">
        <x:v>Not reported</x:v>
      </x:c>
      <x:c r="P124" s="2" t="str">
        <x:v>NR</x:v>
      </x:c>
      <x:c r="Q124" s="2" t="str">
        <x:v>No</x:v>
      </x:c>
      <x:c r="R124" s="2" t="str">
        <x:v>No</x:v>
      </x:c>
      <x:c r="S124" s="2" t="str">
        <x:v>No</x:v>
      </x:c>
      <x:c r="T124" s="2" t="str">
        <x:v>NA</x:v>
      </x:c>
      <x:c r="U124" s="6" t="str">
        <x:v>p. 6; Section IV-B</x:v>
      </x:c>
      <x:c r="V124" s="6" t="str">
        <x:v>we prompt an LLM to check if the two should be recommended for linkages.</x:v>
      </x:c>
      <x:c r="W124" s="6" t="str">
        <x:v>提示内容未在论文中给出，细节未知。</x:v>
      </x:c>
      <x:c r="X124" s="6" t="str">
        <x:v>NA</x:v>
      </x:c>
    </x:row>
    <x:row r="125" ht="76" customHeight="1">
      <x:c r="A125" s="2" t="str">
        <x:v>S18</x:v>
      </x:c>
      <x:c r="B125" s="2" t="str">
        <x:v>S18-CF01</x:v>
      </x:c>
      <x:c r="C125" s="2" t="str">
        <x:v>S18-MU01</x:v>
      </x:c>
      <x:c r="D125" s="2" t="str">
        <x:v>S18-O01</x:v>
      </x:c>
      <x:c r="E125" s="2" t="str">
        <x:v>Prompting</x:v>
      </x:c>
      <x:c r="F125" s="2" t="str">
        <x:v>Rice LRT prompt</x:v>
      </x:c>
      <x:c r="G125" s="2" t="str">
        <x:v>rice-based-prompt</x:v>
      </x:c>
      <x:c r="H125" s="6" t="str">
        <x:v>基于Rice框架（Role, Instruction, Context, Constraints, Examples）设计的少样本提示模板，包含5个示例、上下文、指令和输出格式。</x:v>
      </x:c>
      <x:c r="I125" s="2" t="str">
        <x:v>Yes</x:v>
      </x:c>
      <x:c r="J125" s="2"/>
      <x:c r="K125" s="6" t="str">
        <x:v>Prompt design</x:v>
      </x:c>
      <x:c r="L125" s="2" t="str">
        <x:v>Few-shot/in-context examples</x:v>
      </x:c>
      <x:c r="M125" s="2" t="str">
        <x:v>Few-shot/in-context examples; Role/system/persona prompting; Structured/template prompting</x:v>
      </x:c>
      <x:c r="N125" s="2" t="str">
        <x:v>Yes</x:v>
      </x:c>
      <x:c r="O125" s="2" t="str">
        <x:v>Full prompt reported</x:v>
      </x:c>
      <x:c r="P125" s="2" t="str">
        <x:v>5</x:v>
      </x:c>
      <x:c r="Q125" s="2" t="str">
        <x:v>No</x:v>
      </x:c>
      <x:c r="R125" s="2" t="str">
        <x:v>No</x:v>
      </x:c>
      <x:c r="S125" s="2" t="str">
        <x:v>No</x:v>
      </x:c>
      <x:c r="T125" s="2" t="str">
        <x:v>NA</x:v>
      </x:c>
      <x:c r="U125" s="6" t="str">
        <x:v>p. 7; Section 3.3 Step 1</x:v>
      </x:c>
      <x:c r="V125" s="6" t="str">
        <x:v>To design the prompt, we followed the Rice (Role, Instruction, Context, Constraints, Examples) framework, with some small adaptations to the LRT task, as we discuss below. The prompt is structured in</x:v>
      </x:c>
      <x:c r="W125" s="6" t="str">
        <x:v>Rice LRT提示模板遵循Rice框架设计，包含角色（已省略）、上下文、示例、指令和输出指示，属于提示工程。</x:v>
      </x:c>
      <x:c r="X125" s="6" t="str">
        <x:v>Few-shot count is based on the paper's statement: 'we built five examples'.</x:v>
      </x:c>
    </x:row>
    <x:row r="126" ht="76" customHeight="1">
      <x:c r="A126" s="2" t="str">
        <x:v>S19</x:v>
      </x:c>
      <x:c r="B126" s="2" t="str">
        <x:v>S19-CF01</x:v>
      </x:c>
      <x:c r="C126" s="2" t="str">
        <x:v>S19-MU01</x:v>
      </x:c>
      <x:c r="D126" s="2" t="str">
        <x:v>S19-O01</x:v>
      </x:c>
      <x:c r="E126" s="2" t="str">
        <x:v>Prompting</x:v>
      </x:c>
      <x:c r="F126" s="2" t="str">
        <x:v>prompt</x:v>
      </x:c>
      <x:c r="G126" s="2" t="str">
        <x:v>custom_prompt</x:v>
      </x:c>
      <x:c r="H126" s="6" t="str">
        <x:v>基于Rodriguez等人的自动化追踪经验定制的提示，包含详细追踪指令</x:v>
      </x:c>
      <x:c r="I126" s="2" t="str">
        <x:v>Yes</x:v>
      </x:c>
      <x:c r="J126" s="2"/>
      <x:c r="K126" s="6" t="str">
        <x:v>Prompt design</x:v>
      </x:c>
      <x:c r="L126" s="2" t="str">
        <x:v>Task-specific prompting</x:v>
      </x:c>
      <x:c r="M126" s="2"/>
      <x:c r="N126" s="2" t="str">
        <x:v>No</x:v>
      </x:c>
      <x:c r="O126" s="2" t="str">
        <x:v>Not reported</x:v>
      </x:c>
      <x:c r="P126" s="2" t="str">
        <x:v>NR</x:v>
      </x:c>
      <x:c r="Q126" s="2" t="str">
        <x:v>No</x:v>
      </x:c>
      <x:c r="R126" s="2" t="str">
        <x:v>No</x:v>
      </x:c>
      <x:c r="S126" s="2" t="str">
        <x:v>No</x:v>
      </x:c>
      <x:c r="T126" s="2" t="str">
        <x:v>NR</x:v>
      </x:c>
      <x:c r="U126" s="6" t="str">
        <x:v>p. 3; Section III.C</x:v>
      </x:c>
      <x:c r="V126" s="6" t="str">
        <x:v>We crafted a prompt by following the experience with automated traceability prompts reported by Rodriguez et al. [4].</x:v>
      </x:c>
      <x:c r="W126" s="6" t="str">
        <x:v>使用了定制的提示模板来引导LLM输出结构化追踪结果，但提示内容未在论文中提供</x:v>
      </x:c>
      <x:c r="X126" s="6" t="str">
        <x:v>NR</x:v>
      </x:c>
    </x:row>
    <x:row r="127" ht="76" customHeight="1">
      <x:c r="A127" s="2" t="str">
        <x:v>S19</x:v>
      </x:c>
      <x:c r="B127" s="2" t="str">
        <x:v>S19-CF02</x:v>
      </x:c>
      <x:c r="C127" s="2" t="str">
        <x:v>S19-MU01</x:v>
      </x:c>
      <x:c r="D127" s="2" t="str">
        <x:v>S19-O01</x:v>
      </x:c>
      <x:c r="E127" s="2" t="str">
        <x:v>Output constraint</x:v>
      </x:c>
      <x:c r="F127" s="2" t="str">
        <x:v>temperature to zero</x:v>
      </x:c>
      <x:c r="G127" s="2" t="str">
        <x:v>temp_zero</x:v>
      </x:c>
      <x:c r="H127" s="6" t="str">
        <x:v>将LLM温度参数设为0以消除随机性</x:v>
      </x:c>
      <x:c r="I127" s="2" t="str">
        <x:v>Yes</x:v>
      </x:c>
      <x:c r="J127" s="2"/>
      <x:c r="K127" s="6" t="str">
        <x:v>Invocation control</x:v>
      </x:c>
      <x:c r="L127" s="2" t="str">
        <x:v>Temperature control</x:v>
      </x:c>
      <x:c r="M127" s="2"/>
      <x:c r="N127" s="2" t="str">
        <x:v>NA</x:v>
      </x:c>
      <x:c r="O127" s="2" t="str">
        <x:v>NA</x:v>
      </x:c>
      <x:c r="P127" s="2" t="str">
        <x:v>NA</x:v>
      </x:c>
      <x:c r="Q127" s="2" t="str">
        <x:v>NA</x:v>
      </x:c>
      <x:c r="R127" s="2" t="str">
        <x:v>NA</x:v>
      </x:c>
      <x:c r="S127" s="2" t="str">
        <x:v>NA</x:v>
      </x:c>
      <x:c r="T127" s="2" t="str">
        <x:v>NA</x:v>
      </x:c>
      <x:c r="U127" s="6" t="str">
        <x:v>p. 3; Section III.C</x:v>
      </x:c>
      <x:c r="V127" s="6" t="str">
        <x:v>To control any non-deterministic behavior by the LLMs, we set the temperature to zero [13].</x:v>
      </x:c>
      <x:c r="W127" s="6" t="str">
        <x:v>通过温度约束保证输出确定性，便于重复实验</x:v>
      </x:c>
      <x:c r="X127" s="6" t="str">
        <x:v>NR</x:v>
      </x:c>
    </x:row>
    <x:row r="128" ht="76" customHeight="1">
      <x:c r="A128" s="2" t="str">
        <x:v>S19</x:v>
      </x:c>
      <x:c r="B128" s="2" t="str">
        <x:v>S19-CF03</x:v>
      </x:c>
      <x:c r="C128" s="2" t="str">
        <x:v>S19-MU01</x:v>
      </x:c>
      <x:c r="D128" s="2" t="str">
        <x:v>S19-O01</x:v>
      </x:c>
      <x:c r="E128" s="2" t="str">
        <x:v>Calling and orchestration</x:v>
      </x:c>
      <x:c r="F128" s="2" t="str">
        <x:v>majority voting</x:v>
      </x:c>
      <x:c r="G128" s="2" t="str">
        <x:v>majority_voting</x:v>
      </x:c>
      <x:c r="H128" s="6" t="str">
        <x:v>每次提示独立执行5次，取多数投票结果为最终答案</x:v>
      </x:c>
      <x:c r="I128" s="2" t="str">
        <x:v>No</x:v>
      </x:c>
      <x:c r="J128" s="2" t="str">
        <x:v>External workflow control or validation is analysed under RQ5 rather than as an LLM-side configuration.</x:v>
      </x:c>
      <x:c r="K128" s="6" t="str">
        <x:v>RQ5 boundary record</x:v>
      </x:c>
      <x:c r="L128" s="2" t="str">
        <x:v>External orchestration or validation</x:v>
      </x:c>
      <x:c r="M128" s="2"/>
      <x:c r="N128" s="2" t="str">
        <x:v>NA</x:v>
      </x:c>
      <x:c r="O128" s="2" t="str">
        <x:v>NA</x:v>
      </x:c>
      <x:c r="P128" s="2" t="str">
        <x:v>NA</x:v>
      </x:c>
      <x:c r="Q128" s="2" t="str">
        <x:v>NA</x:v>
      </x:c>
      <x:c r="R128" s="2" t="str">
        <x:v>NA</x:v>
      </x:c>
      <x:c r="S128" s="2" t="str">
        <x:v>NA</x:v>
      </x:c>
      <x:c r="T128" s="2" t="str">
        <x:v>5 runs with majority voting</x:v>
      </x:c>
      <x:c r="U128" s="6" t="str">
        <x:v>p. 3; Section III.C</x:v>
      </x:c>
      <x:c r="V128" s="6" t="str">
        <x:v>We executed each prompt five times and used majority voting to determine the final answer.</x:v>
      </x:c>
      <x:c r="W128" s="6" t="str">
        <x:v>用多数投票聚合多次调用结果，提高稳定性</x:v>
      </x:c>
      <x:c r="X128" s="6" t="str">
        <x:v>NR</x:v>
      </x:c>
    </x:row>
    <x:row r="129" ht="76" customHeight="1">
      <x:c r="A129" s="2" t="str">
        <x:v>S19</x:v>
      </x:c>
      <x:c r="B129" s="2" t="str">
        <x:v>S19-CF04</x:v>
      </x:c>
      <x:c r="C129" s="2" t="str">
        <x:v>S19-MU02</x:v>
      </x:c>
      <x:c r="D129" s="2" t="str">
        <x:v>S19-O01</x:v>
      </x:c>
      <x:c r="E129" s="2" t="str">
        <x:v>Prompting</x:v>
      </x:c>
      <x:c r="F129" s="2" t="str">
        <x:v>prompt</x:v>
      </x:c>
      <x:c r="G129" s="2" t="str">
        <x:v>custom_prompt</x:v>
      </x:c>
      <x:c r="H129" s="6" t="str">
        <x:v>基于Rodriguez等人的自动化追踪经验定制的提示，包含详细追踪指令</x:v>
      </x:c>
      <x:c r="I129" s="2" t="str">
        <x:v>Yes</x:v>
      </x:c>
      <x:c r="J129" s="2"/>
      <x:c r="K129" s="6" t="str">
        <x:v>Prompt design</x:v>
      </x:c>
      <x:c r="L129" s="2" t="str">
        <x:v>Task-specific prompting</x:v>
      </x:c>
      <x:c r="M129" s="2"/>
      <x:c r="N129" s="2" t="str">
        <x:v>No</x:v>
      </x:c>
      <x:c r="O129" s="2" t="str">
        <x:v>Not reported</x:v>
      </x:c>
      <x:c r="P129" s="2" t="str">
        <x:v>NR</x:v>
      </x:c>
      <x:c r="Q129" s="2" t="str">
        <x:v>No</x:v>
      </x:c>
      <x:c r="R129" s="2" t="str">
        <x:v>No</x:v>
      </x:c>
      <x:c r="S129" s="2" t="str">
        <x:v>No</x:v>
      </x:c>
      <x:c r="T129" s="2" t="str">
        <x:v>NR</x:v>
      </x:c>
      <x:c r="U129" s="6" t="str">
        <x:v>p. 3; Section III.C</x:v>
      </x:c>
      <x:c r="V129" s="6" t="str">
        <x:v>We crafted a prompt by following the experience with automated traceability prompts reported by Rodriguez et al. [4].</x:v>
      </x:c>
      <x:c r="W129" s="6" t="str">
        <x:v>使用了定制的提示模板来引导LLM输出结构化追踪结果，但提示内容未在论文中提供</x:v>
      </x:c>
      <x:c r="X129" s="6" t="str">
        <x:v>NR</x:v>
      </x:c>
    </x:row>
    <x:row r="130" ht="76" customHeight="1">
      <x:c r="A130" s="2" t="str">
        <x:v>S19</x:v>
      </x:c>
      <x:c r="B130" s="2" t="str">
        <x:v>S19-CF05</x:v>
      </x:c>
      <x:c r="C130" s="2" t="str">
        <x:v>S19-MU02</x:v>
      </x:c>
      <x:c r="D130" s="2" t="str">
        <x:v>S19-O01</x:v>
      </x:c>
      <x:c r="E130" s="2" t="str">
        <x:v>Output constraint</x:v>
      </x:c>
      <x:c r="F130" s="2" t="str">
        <x:v>temperature to zero</x:v>
      </x:c>
      <x:c r="G130" s="2" t="str">
        <x:v>temp_zero</x:v>
      </x:c>
      <x:c r="H130" s="6" t="str">
        <x:v>将LLM温度参数设为0以消除随机性</x:v>
      </x:c>
      <x:c r="I130" s="2" t="str">
        <x:v>Yes</x:v>
      </x:c>
      <x:c r="J130" s="2"/>
      <x:c r="K130" s="6" t="str">
        <x:v>Invocation control</x:v>
      </x:c>
      <x:c r="L130" s="2" t="str">
        <x:v>Temperature control</x:v>
      </x:c>
      <x:c r="M130" s="2"/>
      <x:c r="N130" s="2" t="str">
        <x:v>NA</x:v>
      </x:c>
      <x:c r="O130" s="2" t="str">
        <x:v>NA</x:v>
      </x:c>
      <x:c r="P130" s="2" t="str">
        <x:v>NA</x:v>
      </x:c>
      <x:c r="Q130" s="2" t="str">
        <x:v>NA</x:v>
      </x:c>
      <x:c r="R130" s="2" t="str">
        <x:v>NA</x:v>
      </x:c>
      <x:c r="S130" s="2" t="str">
        <x:v>NA</x:v>
      </x:c>
      <x:c r="T130" s="2" t="str">
        <x:v>NA</x:v>
      </x:c>
      <x:c r="U130" s="6" t="str">
        <x:v>p. 3; Section III.C</x:v>
      </x:c>
      <x:c r="V130" s="6" t="str">
        <x:v>To control any non-deterministic behavior by the LLMs, we set the temperature to zero [13].</x:v>
      </x:c>
      <x:c r="W130" s="6" t="str">
        <x:v>通过温度约束保证输出确定性，便于重复实验</x:v>
      </x:c>
      <x:c r="X130" s="6" t="str">
        <x:v>NR</x:v>
      </x:c>
    </x:row>
    <x:row r="131" ht="76" customHeight="1">
      <x:c r="A131" s="2" t="str">
        <x:v>S19</x:v>
      </x:c>
      <x:c r="B131" s="2" t="str">
        <x:v>S19-CF06</x:v>
      </x:c>
      <x:c r="C131" s="2" t="str">
        <x:v>S19-MU02</x:v>
      </x:c>
      <x:c r="D131" s="2" t="str">
        <x:v>S19-O01</x:v>
      </x:c>
      <x:c r="E131" s="2" t="str">
        <x:v>Calling and orchestration</x:v>
      </x:c>
      <x:c r="F131" s="2" t="str">
        <x:v>majority voting</x:v>
      </x:c>
      <x:c r="G131" s="2" t="str">
        <x:v>majority_voting</x:v>
      </x:c>
      <x:c r="H131" s="6" t="str">
        <x:v>每次提示独立执行5次，取多数投票结果为最终答案</x:v>
      </x:c>
      <x:c r="I131" s="2" t="str">
        <x:v>No</x:v>
      </x:c>
      <x:c r="J131" s="2" t="str">
        <x:v>External workflow control or validation is analysed under RQ5 rather than as an LLM-side configuration.</x:v>
      </x:c>
      <x:c r="K131" s="6" t="str">
        <x:v>RQ5 boundary record</x:v>
      </x:c>
      <x:c r="L131" s="2" t="str">
        <x:v>External orchestration or validation</x:v>
      </x:c>
      <x:c r="M131" s="2"/>
      <x:c r="N131" s="2" t="str">
        <x:v>NA</x:v>
      </x:c>
      <x:c r="O131" s="2" t="str">
        <x:v>NA</x:v>
      </x:c>
      <x:c r="P131" s="2" t="str">
        <x:v>NA</x:v>
      </x:c>
      <x:c r="Q131" s="2" t="str">
        <x:v>NA</x:v>
      </x:c>
      <x:c r="R131" s="2" t="str">
        <x:v>NA</x:v>
      </x:c>
      <x:c r="S131" s="2" t="str">
        <x:v>NA</x:v>
      </x:c>
      <x:c r="T131" s="2" t="str">
        <x:v>5 runs with majority voting</x:v>
      </x:c>
      <x:c r="U131" s="6" t="str">
        <x:v>p. 3; Section III.C</x:v>
      </x:c>
      <x:c r="V131" s="6" t="str">
        <x:v>We executed each prompt five times and used majority voting to determine the final answer.</x:v>
      </x:c>
      <x:c r="W131" s="6" t="str">
        <x:v>用多数投票聚合多次调用结果，提高稳定性</x:v>
      </x:c>
      <x:c r="X131" s="6" t="str">
        <x:v>NR</x:v>
      </x:c>
    </x:row>
    <x:row r="132" ht="76" customHeight="1">
      <x:c r="A132" s="2" t="str">
        <x:v>S20</x:v>
      </x:c>
      <x:c r="B132" s="2" t="str">
        <x:v>S20-CF01</x:v>
      </x:c>
      <x:c r="C132" s="2" t="str">
        <x:v>S20-MU07</x:v>
      </x:c>
      <x:c r="D132" s="2" t="str">
        <x:v>S20-O01</x:v>
      </x:c>
      <x:c r="E132" s="2" t="str">
        <x:v>Prompting</x:v>
      </x:c>
      <x:c r="F132" s="2" t="str">
        <x:v>Entity Extraction Prompt</x:v>
      </x:c>
      <x:c r="G132" s="2" t="str">
        <x:v>entity_extraction_few_shot</x:v>
      </x:c>
      <x:c r="H132" s="6" t="str">
        <x:v>使用领域特定的少样本提示，从文本块中提取实体和关系。提示包含预定义的实体类型和示例，并通过迭代轮次进行补全。</x:v>
      </x:c>
      <x:c r="I132" s="2" t="str">
        <x:v>Yes</x:v>
      </x:c>
      <x:c r="J132" s="2"/>
      <x:c r="K132" s="6" t="str">
        <x:v>Prompt design</x:v>
      </x:c>
      <x:c r="L132" s="2" t="str">
        <x:v>Few-shot/in-context examples</x:v>
      </x:c>
      <x:c r="M132" s="2" t="str">
        <x:v>Few-shot/in-context examples</x:v>
      </x:c>
      <x:c r="N132" s="2" t="str">
        <x:v>Yes</x:v>
      </x:c>
      <x:c r="O132" s="2" t="str">
        <x:v>Template reported</x:v>
      </x:c>
      <x:c r="P132" s="2" t="str">
        <x:v>NR</x:v>
      </x:c>
      <x:c r="Q132" s="2" t="str">
        <x:v>No</x:v>
      </x:c>
      <x:c r="R132" s="2" t="str">
        <x:v>No</x:v>
      </x:c>
      <x:c r="S132" s="2" t="str">
        <x:v>No</x:v>
      </x:c>
      <x:c r="T132" s="2" t="str">
        <x:v>iterative gleanings</x:v>
      </x:c>
      <x:c r="U132" s="6" t="str">
        <x:v>p. 11; Section 4.3.1</x:v>
      </x:c>
      <x:c r="V132" s="6" t="str">
        <x:v>This is accomplished using domain-specific prompts tailored for the LLM to recognize relevant elements within the text. To ensure comprehensive extraction, especially for larger chunk sizes, iterative rounds of extraction (gleanings) are performed.</x:v>
      </x:c>
      <x:c r="W132" s="6" t="str">
        <x:v>提示工程用于指导LLM提取实体，模板已在论文中展示结构。</x:v>
      </x:c>
      <x:c r="X132" s="6" t="str">
        <x:v>相同提示用于GPT-4o-mini。</x:v>
      </x:c>
    </x:row>
    <x:row r="133" ht="76" customHeight="1">
      <x:c r="A133" s="2" t="str">
        <x:v>S20</x:v>
      </x:c>
      <x:c r="B133" s="2" t="str">
        <x:v>S20-CF02</x:v>
      </x:c>
      <x:c r="C133" s="2" t="str">
        <x:v>S20-MU07</x:v>
      </x:c>
      <x:c r="D133" s="2" t="str">
        <x:v>S20-O03</x:v>
      </x:c>
      <x:c r="E133" s="2" t="str">
        <x:v>Prompting</x:v>
      </x:c>
      <x:c r="F133" s="2" t="str">
        <x:v>Community Summarization Prompt</x:v>
      </x:c>
      <x:c r="G133" s="2" t="str">
        <x:v>community_summarization_template</x:v>
      </x:c>
      <x:c r="H133" s="6" t="str">
        <x:v>为每个社区生成结构化报告，包括标题、摘要、影响评分和详细发现。</x:v>
      </x:c>
      <x:c r="I133" s="2" t="str">
        <x:v>Yes</x:v>
      </x:c>
      <x:c r="J133" s="2"/>
      <x:c r="K133" s="6" t="str">
        <x:v>Prompt design</x:v>
      </x:c>
      <x:c r="L133" s="2" t="str">
        <x:v>Structured/template prompting</x:v>
      </x:c>
      <x:c r="M133" s="2" t="str">
        <x:v>Structured/template prompting</x:v>
      </x:c>
      <x:c r="N133" s="2" t="str">
        <x:v>Yes</x:v>
      </x:c>
      <x:c r="O133" s="2" t="str">
        <x:v>Template reported</x:v>
      </x:c>
      <x:c r="P133" s="2" t="str">
        <x:v>NA</x:v>
      </x:c>
      <x:c r="Q133" s="2" t="str">
        <x:v>No</x:v>
      </x:c>
      <x:c r="R133" s="2" t="str">
        <x:v>No</x:v>
      </x:c>
      <x:c r="S133" s="2" t="str">
        <x:v>No</x:v>
      </x:c>
      <x:c r="T133" s="2" t="str">
        <x:v>NA</x:v>
      </x:c>
      <x:c r="U133" s="6" t="str">
        <x:v>p. 13; Section 4.3.3</x:v>
      </x:c>
      <x:c r="V133" s="6" t="str">
        <x:v>This section is also LLM-based and requires a carefully designed prompt to guide the model. The prompt, illustrated in Figure 5, facilitates the generation of a comprehensive report summarizing a software requirements community.</x:v>
      </x:c>
      <x:c r="W133" s="6" t="str">
        <x:v>提示模板用于社区摘要，结构在论文中概述。</x:v>
      </x:c>
      <x:c r="X133" s="6" t="str">
        <x:v>相同提示用于GPT-4o-mini。</x:v>
      </x:c>
    </x:row>
    <x:row r="134" ht="76" customHeight="1">
      <x:c r="A134" s="2" t="str">
        <x:v>S20</x:v>
      </x:c>
      <x:c r="B134" s="2" t="str">
        <x:v>S20-CF03</x:v>
      </x:c>
      <x:c r="C134" s="2" t="str">
        <x:v>S20-MU07</x:v>
      </x:c>
      <x:c r="D134" s="2" t="str">
        <x:v>S20-O04</x:v>
      </x:c>
      <x:c r="E134" s="2" t="str">
        <x:v>Prompting</x:v>
      </x:c>
      <x:c r="F134" s="2" t="str">
        <x:v>Input/Output Prompting</x:v>
      </x:c>
      <x:c r="G134" s="2" t="str">
        <x:v>io_prompting</x:v>
      </x:c>
      <x:c r="H134" s="6" t="str">
        <x:v>最简单的提示方法，直接评估需求是否与参考文本一致，输出Conforms或Violates及简要解释。</x:v>
      </x:c>
      <x:c r="I134" s="2" t="str">
        <x:v>Yes</x:v>
      </x:c>
      <x:c r="J134" s="2"/>
      <x:c r="K134" s="6" t="str">
        <x:v>Prompt design</x:v>
      </x:c>
      <x:c r="L134" s="2" t="str">
        <x:v>Structured/template prompting</x:v>
      </x:c>
      <x:c r="M134" s="2" t="str">
        <x:v>Structured/template prompting</x:v>
      </x:c>
      <x:c r="N134" s="2" t="str">
        <x:v>Yes</x:v>
      </x:c>
      <x:c r="O134" s="2" t="str">
        <x:v>Full prompt reported</x:v>
      </x:c>
      <x:c r="P134" s="2" t="str">
        <x:v>NA</x:v>
      </x:c>
      <x:c r="Q134" s="2" t="str">
        <x:v>No</x:v>
      </x:c>
      <x:c r="R134" s="2" t="str">
        <x:v>No</x:v>
      </x:c>
      <x:c r="S134" s="2" t="str">
        <x:v>No</x:v>
      </x:c>
      <x:c r="T134" s="2" t="str">
        <x:v>NA</x:v>
      </x:c>
      <x:c r="U134" s="6" t="str">
        <x:v>p. 15; Section 4.5</x:v>
      </x:c>
      <x:c r="V134" s="6" t="str">
        <x:v>The simplest approach, IO prompting, involves assessing whether a requirement aligns with its reference text by determining if it is fully addressed and identifying any inconsistencies or violations.</x:v>
      </x:c>
      <x:c r="W134" s="6" t="str">
        <x:v>IO提示完整呈现在附录中。</x:v>
      </x:c>
      <x:c r="X134" s="6" t="str">
        <x:v>相同提示用于GPT-4o-mini。</x:v>
      </x:c>
    </x:row>
    <x:row r="135" ht="76" customHeight="1">
      <x:c r="A135" s="2" t="str">
        <x:v>S20</x:v>
      </x:c>
      <x:c r="B135" s="2" t="str">
        <x:v>S20-CF04</x:v>
      </x:c>
      <x:c r="C135" s="2" t="str">
        <x:v>S20-MU07</x:v>
      </x:c>
      <x:c r="D135" s="2" t="str">
        <x:v>S20-O04</x:v>
      </x:c>
      <x:c r="E135" s="2" t="str">
        <x:v>Prompting</x:v>
      </x:c>
      <x:c r="F135" s="2" t="str">
        <x:v>Chain-of-Thought Prompting</x:v>
      </x:c>
      <x:c r="G135" s="2" t="str">
        <x:v>cot_prompting</x:v>
      </x:c>
      <x:c r="H135" s="6" t="str">
        <x:v>将评估分解为多步逻辑分析：首先将需求和参考文本分解为Purpose/Action/Conditions，然后逐步比较。</x:v>
      </x:c>
      <x:c r="I135" s="2" t="str">
        <x:v>Yes</x:v>
      </x:c>
      <x:c r="J135" s="2"/>
      <x:c r="K135" s="6" t="str">
        <x:v>Prompt design</x:v>
      </x:c>
      <x:c r="L135" s="2" t="str">
        <x:v>Reasoning elicitation</x:v>
      </x:c>
      <x:c r="M135" s="2" t="str">
        <x:v>Reasoning elicitation; Retrieved context; Structured/template prompting</x:v>
      </x:c>
      <x:c r="N135" s="2" t="str">
        <x:v>Yes</x:v>
      </x:c>
      <x:c r="O135" s="2" t="str">
        <x:v>Template reported</x:v>
      </x:c>
      <x:c r="P135" s="2" t="str">
        <x:v>NA</x:v>
      </x:c>
      <x:c r="Q135" s="2" t="str">
        <x:v>No</x:v>
      </x:c>
      <x:c r="R135" s="2" t="str">
        <x:v>No</x:v>
      </x:c>
      <x:c r="S135" s="2" t="str">
        <x:v>No</x:v>
      </x:c>
      <x:c r="T135" s="2" t="str">
        <x:v>NA</x:v>
      </x:c>
      <x:c r="U135" s="6" t="str">
        <x:v>p. 15; Section 4.5</x:v>
      </x:c>
      <x:c r="V135" s="6" t="str">
        <x:v>CoT prompting leverages a structured, multi-step process to evaluate the alignment between a requirement and its reference text.</x:v>
      </x:c>
      <x:c r="W135" s="6" t="str">
        <x:v>CoT提示模板在附录中给出。</x:v>
      </x:c>
      <x:c r="X135" s="6" t="str">
        <x:v>相同提示用于GPT-4o-mini。</x:v>
      </x:c>
    </x:row>
    <x:row r="136" ht="76" customHeight="1">
      <x:c r="A136" s="2" t="str">
        <x:v>S20</x:v>
      </x:c>
      <x:c r="B136" s="2" t="str">
        <x:v>S20-CF05</x:v>
      </x:c>
      <x:c r="C136" s="2" t="str">
        <x:v>S20-MU07</x:v>
      </x:c>
      <x:c r="D136" s="2" t="str">
        <x:v>S20-O04</x:v>
      </x:c>
      <x:c r="E136" s="2" t="str">
        <x:v>Prompting</x:v>
      </x:c>
      <x:c r="F136" s="2" t="str">
        <x:v>Tree-of-Thought Prompting</x:v>
      </x:c>
      <x:c r="G136" s="2" t="str">
        <x:v>tot_prompting</x:v>
      </x:c>
      <x:c r="H136" s="6" t="str">
        <x:v>多代理推理框架：三个独立代理分解和比较组件，仲裁员综合结果，最终判断合规性。</x:v>
      </x:c>
      <x:c r="I136" s="2" t="str">
        <x:v>Yes</x:v>
      </x:c>
      <x:c r="J136" s="2"/>
      <x:c r="K136" s="6" t="str">
        <x:v>Prompt design</x:v>
      </x:c>
      <x:c r="L136" s="2" t="str">
        <x:v>Reasoning elicitation</x:v>
      </x:c>
      <x:c r="M136" s="2" t="str">
        <x:v>Reasoning elicitation</x:v>
      </x:c>
      <x:c r="N136" s="2" t="str">
        <x:v>Yes</x:v>
      </x:c>
      <x:c r="O136" s="2" t="str">
        <x:v>Template reported</x:v>
      </x:c>
      <x:c r="P136" s="2" t="str">
        <x:v>NA</x:v>
      </x:c>
      <x:c r="Q136" s="2" t="str">
        <x:v>No</x:v>
      </x:c>
      <x:c r="R136" s="2" t="str">
        <x:v>No</x:v>
      </x:c>
      <x:c r="S136" s="2" t="str">
        <x:v>multi-agent reasoning framework</x:v>
      </x:c>
      <x:c r="T136" s="2" t="str">
        <x:v>multi-agent with arbiter</x:v>
      </x:c>
      <x:c r="U136" s="6" t="str">
        <x:v>p. 16; Section 4.5</x:v>
      </x:c>
      <x:c r="V136" s="6" t="str">
        <x:v>ToT prompting applies a multi-agent reasoning framework to assess the alignment between a requirement and its reference text.</x:v>
      </x:c>
      <x:c r="W136" s="6" t="str">
        <x:v>ToT提示模板在附录中给出，采用多代理设计。</x:v>
      </x:c>
      <x:c r="X136" s="6" t="str">
        <x:v>相同提示用于GPT-4o-mini。</x:v>
      </x:c>
    </x:row>
    <x:row r="137" ht="76" customHeight="1">
      <x:c r="A137" s="2" t="str">
        <x:v>S21</x:v>
      </x:c>
      <x:c r="B137" s="2" t="str">
        <x:v>S21-CF01</x:v>
      </x:c>
      <x:c r="C137" s="2" t="str">
        <x:v>S21-MU01</x:v>
      </x:c>
      <x:c r="D137" s="2" t="str">
        <x:v>S21-O01</x:v>
      </x:c>
      <x:c r="E137" s="2" t="str">
        <x:v>Prompting</x:v>
      </x:c>
      <x:c r="F137" s="2" t="str">
        <x:v>combining all questions and chain-of-thought reasoning</x:v>
      </x:c>
      <x:c r="G137" s="2" t="str">
        <x:v>multi_question_cot_prompt</x:v>
      </x:c>
      <x:c r="H137" s="6" t="str">
        <x:v>一个多步骤提示，要求模型回答多个关于工件之间关系的问题（如实现、分解、满足、共享功能、依赖同一系统能力），并给出相关和不相关的理由，最后做出可追溯性判断。</x:v>
      </x:c>
      <x:c r="I137" s="2" t="str">
        <x:v>Yes</x:v>
      </x:c>
      <x:c r="J137" s="2"/>
      <x:c r="K137" s="6" t="str">
        <x:v>Prompt design</x:v>
      </x:c>
      <x:c r="L137" s="2" t="str">
        <x:v>Reasoning elicitation</x:v>
      </x:c>
      <x:c r="M137" s="2" t="str">
        <x:v>Iterative or staged prompting; Reasoning elicitation</x:v>
      </x:c>
      <x:c r="N137" s="2" t="str">
        <x:v>Yes</x:v>
      </x:c>
      <x:c r="O137" s="2" t="str">
        <x:v>Full prompt reported</x:v>
      </x:c>
      <x:c r="P137" s="2" t="str">
        <x:v>0</x:v>
      </x:c>
      <x:c r="Q137" s="2" t="str">
        <x:v>No</x:v>
      </x:c>
      <x:c r="R137" s="2" t="str">
        <x:v>No</x:v>
      </x:c>
      <x:c r="S137" s="2" t="str">
        <x:v>No</x:v>
      </x:c>
      <x:c r="T137" s="2" t="str">
        <x:v>NR</x:v>
      </x:c>
      <x:c r="U137" s="6" t="str">
        <x:v>p. 6; Section IV-C</x:v>
      </x:c>
      <x:c r="V137" s="6" t="str">
        <x:v>Answer whether (2) implements a part of (1) with yes or no enclosed in &lt;implements&gt; &lt;/implements&gt;.</x:v>
      </x:c>
      <x:c r="W137" s="6" t="str">
        <x:v>该提示通过一系列子问题和理由生成步骤引导LLM进行逐步推理，属于精心设计的提示策略。</x:v>
      </x:c>
      <x:c r="X137" s="6" t="str">
        <x:v>This is the final classification prompt (ID 11 in Table II).</x:v>
      </x:c>
    </x:row>
    <x:row r="138" ht="76" customHeight="1">
      <x:c r="A138" s="2" t="str">
        <x:v>S21</x:v>
      </x:c>
      <x:c r="B138" s="2" t="str">
        <x:v>S21-CF02</x:v>
      </x:c>
      <x:c r="C138" s="2" t="str">
        <x:v>S21-MU02</x:v>
      </x:c>
      <x:c r="D138" s="2" t="str">
        <x:v>S21-O02</x:v>
      </x:c>
      <x:c r="E138" s="2" t="str">
        <x:v>Prompting</x:v>
      </x:c>
      <x:c r="F138" s="2" t="str">
        <x:v>ranking prompt</x:v>
      </x:c>
      <x:c r="G138" s="2" t="str">
        <x:v>ranking_prompt</x:v>
      </x:c>
      <x:c r="H138" s="6" t="str">
        <x:v>要求模型根据源工件对所有目标工件进行排序，以从最相关到最不相关的顺序输出工件ID列表。</x:v>
      </x:c>
      <x:c r="I138" s="2" t="str">
        <x:v>Yes</x:v>
      </x:c>
      <x:c r="J138" s="2"/>
      <x:c r="K138" s="6" t="str">
        <x:v>Prompt design</x:v>
      </x:c>
      <x:c r="L138" s="2" t="str">
        <x:v>Task-specific prompting</x:v>
      </x:c>
      <x:c r="M138" s="2"/>
      <x:c r="N138" s="2" t="str">
        <x:v>Yes</x:v>
      </x:c>
      <x:c r="O138" s="2" t="str">
        <x:v>Full prompt reported</x:v>
      </x:c>
      <x:c r="P138" s="2" t="str">
        <x:v>0</x:v>
      </x:c>
      <x:c r="Q138" s="2" t="str">
        <x:v>No</x:v>
      </x:c>
      <x:c r="R138" s="2" t="str">
        <x:v>No</x:v>
      </x:c>
      <x:c r="S138" s="2" t="str">
        <x:v>No</x:v>
      </x:c>
      <x:c r="T138" s="2" t="str">
        <x:v>NR</x:v>
      </x:c>
      <x:c r="U138" s="6" t="str">
        <x:v>p. 6; Section IV-D</x:v>
      </x:c>
      <x:c r="V138" s="6" t="str">
        <x:v>Rank all related artifacts from most to least related to the source.</x:v>
      </x:c>
      <x:c r="W138" s="6" t="str">
        <x:v>该排序提示是一个零样本提示，直接要求模型输出排序后的ID列表。</x:v>
      </x:c>
      <x:c r="X138" s="6" t="str">
        <x:v>NA</x:v>
      </x:c>
    </x:row>
    <x:row r="139" ht="76" customHeight="1">
      <x:c r="A139" s="2" t="str">
        <x:v>S21</x:v>
      </x:c>
      <x:c r="B139" s="2" t="str">
        <x:v>S21-CF03</x:v>
      </x:c>
      <x:c r="C139" s="2" t="str">
        <x:v>S21-MU03</x:v>
      </x:c>
      <x:c r="D139" s="2" t="str">
        <x:v>S21-O03</x:v>
      </x:c>
      <x:c r="E139" s="2" t="str">
        <x:v>Prompting</x:v>
      </x:c>
      <x:c r="F139" s="2" t="str">
        <x:v>code summarization prompt</x:v>
      </x:c>
      <x:c r="G139" s="2" t="str">
        <x:v>code_summarization</x:v>
      </x:c>
      <x:c r="H139" s="6" t="str">
        <x:v>要求模型生成代码工件的高层功能摘要，聚焦于代码的主要功能。</x:v>
      </x:c>
      <x:c r="I139" s="2" t="str">
        <x:v>Yes</x:v>
      </x:c>
      <x:c r="J139" s="2"/>
      <x:c r="K139" s="6" t="str">
        <x:v>Prompt design</x:v>
      </x:c>
      <x:c r="L139" s="2" t="str">
        <x:v>Task-specific prompting</x:v>
      </x:c>
      <x:c r="M139" s="2"/>
      <x:c r="N139" s="2" t="str">
        <x:v>No</x:v>
      </x:c>
      <x:c r="O139" s="2" t="str">
        <x:v>Partial description</x:v>
      </x:c>
      <x:c r="P139" s="2" t="str">
        <x:v>0</x:v>
      </x:c>
      <x:c r="Q139" s="2" t="str">
        <x:v>No</x:v>
      </x:c>
      <x:c r="R139" s="2" t="str">
        <x:v>No</x:v>
      </x:c>
      <x:c r="S139" s="2" t="str">
        <x:v>No</x:v>
      </x:c>
      <x:c r="T139" s="2" t="str">
        <x:v>NR</x:v>
      </x:c>
      <x:c r="U139" s="6" t="str">
        <x:v>p. 3; Section III</x:v>
      </x:c>
      <x:c r="V139" s="6" t="str">
        <x:v>the model to provide a several sentences focusing on the highlevel functionality of the code. Although this removed some</x:v>
      </x:c>
      <x:c r="W139" s="6" t="str">
        <x:v>该提示用于生成代码摘要，以简化后续分类任务的输入。</x:v>
      </x:c>
      <x:c r="X139" s="6" t="str">
        <x:v>NA</x:v>
      </x:c>
    </x:row>
    <x:row r="140" ht="76" customHeight="1">
      <x:c r="A140" s="2" t="str">
        <x:v>S21</x:v>
      </x:c>
      <x:c r="B140" s="2" t="str">
        <x:v>S21-CF04</x:v>
      </x:c>
      <x:c r="C140" s="2" t="str">
        <x:v>S21-MU04</x:v>
      </x:c>
      <x:c r="D140" s="2" t="str">
        <x:v>S21-O04</x:v>
      </x:c>
      <x:c r="E140" s="2" t="str">
        <x:v>Prompting</x:v>
      </x:c>
      <x:c r="F140" s="2" t="str">
        <x:v>code summarization prompt</x:v>
      </x:c>
      <x:c r="G140" s="2" t="str">
        <x:v>code_summarization</x:v>
      </x:c>
      <x:c r="H140" s="6" t="str">
        <x:v>要求模型生成代码工件的高层功能摘要，聚焦于代码的主要功能。</x:v>
      </x:c>
      <x:c r="I140" s="2" t="str">
        <x:v>Yes</x:v>
      </x:c>
      <x:c r="J140" s="2"/>
      <x:c r="K140" s="6" t="str">
        <x:v>Prompt design</x:v>
      </x:c>
      <x:c r="L140" s="2" t="str">
        <x:v>Task-specific prompting</x:v>
      </x:c>
      <x:c r="M140" s="2"/>
      <x:c r="N140" s="2" t="str">
        <x:v>No</x:v>
      </x:c>
      <x:c r="O140" s="2" t="str">
        <x:v>Partial description</x:v>
      </x:c>
      <x:c r="P140" s="2" t="str">
        <x:v>0</x:v>
      </x:c>
      <x:c r="Q140" s="2" t="str">
        <x:v>No</x:v>
      </x:c>
      <x:c r="R140" s="2" t="str">
        <x:v>No</x:v>
      </x:c>
      <x:c r="S140" s="2" t="str">
        <x:v>No</x:v>
      </x:c>
      <x:c r="T140" s="2" t="str">
        <x:v>NR</x:v>
      </x:c>
      <x:c r="U140" s="6" t="str">
        <x:v>p. 3; Section III</x:v>
      </x:c>
      <x:c r="V140" s="6" t="str">
        <x:v>the model to provide a several sentences focusing on the highlevel functionality of the code. Although this removed some</x:v>
      </x:c>
      <x:c r="W140" s="6" t="str">
        <x:v>该提示用于生成代码摘要，以简化后续排序任务的输入。</x:v>
      </x:c>
      <x:c r="X140" s="6" t="str">
        <x:v>NA</x:v>
      </x:c>
    </x:row>
    <x:row r="141" ht="76" customHeight="1">
      <x:c r="A141" s="2" t="str">
        <x:v>S23</x:v>
      </x:c>
      <x:c r="B141" s="2" t="str">
        <x:v>S23-CF01</x:v>
      </x:c>
      <x:c r="C141" s="2" t="str">
        <x:v>S23-MU02</x:v>
      </x:c>
      <x:c r="D141" s="2" t="str">
        <x:v>S23-O01</x:v>
      </x:c>
      <x:c r="E141" s="2" t="str">
        <x:v>Prompting</x:v>
      </x:c>
      <x:c r="F141" s="2" t="str">
        <x:v>Simple prompts</x:v>
      </x:c>
      <x:c r="G141" s="2" t="str">
        <x:v>simple_prompt_initial</x:v>
      </x:c>
      <x:c r="H141" s="6" t="str">
        <x:v>使用简单提示指令LLM根据需求生成代码。</x:v>
      </x:c>
      <x:c r="I141" s="2" t="str">
        <x:v>Yes</x:v>
      </x:c>
      <x:c r="J141" s="2"/>
      <x:c r="K141" s="6" t="str">
        <x:v>Prompt design</x:v>
      </x:c>
      <x:c r="L141" s="2" t="str">
        <x:v>Task-specific prompting</x:v>
      </x:c>
      <x:c r="M141" s="2"/>
      <x:c r="N141" s="2" t="str">
        <x:v>No</x:v>
      </x:c>
      <x:c r="O141" s="2" t="str">
        <x:v>Not reported</x:v>
      </x:c>
      <x:c r="P141" s="2" t="str">
        <x:v>NR</x:v>
      </x:c>
      <x:c r="Q141" s="2" t="str">
        <x:v>No</x:v>
      </x:c>
      <x:c r="R141" s="2" t="str">
        <x:v>No</x:v>
      </x:c>
      <x:c r="S141" s="2" t="str">
        <x:v>No</x:v>
      </x:c>
      <x:c r="T141" s="2" t="str">
        <x:v>NA</x:v>
      </x:c>
      <x:c r="U141" s="6" t="str">
        <x:v>p. 4; Section III-A (before step 1)</x:v>
      </x:c>
      <x:c r="V141" s="6" t="str">
        <x:v>We use simple prompts when instructing the model.</x:v>
      </x:c>
      <x:c r="W141" s="6" t="str">
        <x:v>初始提示使用简单的自然语言指令，未提供具体模板，但实验保持一致性。</x:v>
      </x:c>
      <x:c r="X141" s="6" t="str">
        <x:v>Applies to all tested models.</x:v>
      </x:c>
    </x:row>
    <x:row r="142" ht="76" customHeight="1">
      <x:c r="A142" s="2" t="str">
        <x:v>S23</x:v>
      </x:c>
      <x:c r="B142" s="2" t="str">
        <x:v>S23-CF02</x:v>
      </x:c>
      <x:c r="C142" s="2" t="str">
        <x:v>S23-MU02</x:v>
      </x:c>
      <x:c r="D142" s="2" t="str">
        <x:v>S23-O02</x:v>
      </x:c>
      <x:c r="E142" s="2" t="str">
        <x:v>Prompting</x:v>
      </x:c>
      <x:c r="F142" s="2" t="str">
        <x:v>Reprompting template</x:v>
      </x:c>
      <x:c r="G142" s="2" t="str">
        <x:v>reprompt_template</x:v>
      </x:c>
      <x:c r="H142" s="6" t="str">
        <x:v>重提示模板，包括原始需求和对特定忽略需求段的关注。</x:v>
      </x:c>
      <x:c r="I142" s="2" t="str">
        <x:v>Yes</x:v>
      </x:c>
      <x:c r="J142" s="2"/>
      <x:c r="K142" s="6" t="str">
        <x:v>Prompt design</x:v>
      </x:c>
      <x:c r="L142" s="2" t="str">
        <x:v>Iterative or staged prompting</x:v>
      </x:c>
      <x:c r="M142" s="2" t="str">
        <x:v>Iterative or staged prompting; Structured/template prompting</x:v>
      </x:c>
      <x:c r="N142" s="2" t="str">
        <x:v>Yes</x:v>
      </x:c>
      <x:c r="O142" s="2" t="str">
        <x:v>Partial description</x:v>
      </x:c>
      <x:c r="P142" s="2" t="str">
        <x:v>NR</x:v>
      </x:c>
      <x:c r="Q142" s="2" t="str">
        <x:v>No</x:v>
      </x:c>
      <x:c r="R142" s="2" t="str">
        <x:v>No</x:v>
      </x:c>
      <x:c r="S142" s="2" t="str">
        <x:v>No</x:v>
      </x:c>
      <x:c r="T142" s="2" t="str">
        <x:v>NA</x:v>
      </x:c>
      <x:c r="U142" s="6" t="str">
        <x:v>p. 2; Figure 2c; Section III-A step 6</x:v>
      </x:c>
      <x:c r="V142" s="6" t="str">
        <x:v>Rewrite the method with the same requirements, paying close attention to “contains at least one number”.</x:v>
      </x:c>
      <x:c r="W142" s="6" t="str">
        <x:v>所示例的重提示消息包含忽略的需求段。</x:v>
      </x:c>
      <x:c r="X142" s="6" t="str">
        <x:v>NA</x:v>
      </x:c>
    </x:row>
    <x:row r="143" ht="76" customHeight="1">
      <x:c r="A143" s="2" t="str">
        <x:v>S23</x:v>
      </x:c>
      <x:c r="B143" s="2" t="str">
        <x:v>S23-CF03</x:v>
      </x:c>
      <x:c r="C143" s="2" t="str">
        <x:v>S23-MU02</x:v>
      </x:c>
      <x:c r="D143" s="2" t="str">
        <x:v>S23-O02</x:v>
      </x:c>
      <x:c r="E143" s="2" t="str">
        <x:v>Context construction</x:v>
      </x:c>
      <x:c r="F143" s="2" t="str">
        <x:v>Conversation continuation</x:v>
      </x:c>
      <x:c r="G143" s="2" t="str">
        <x:v>conversation_history</x:v>
      </x:c>
      <x:c r="H143" s="6" t="str">
        <x:v>重提示时保持对话历史，构建新的用户消息和部分助手响应以维持上下文。</x:v>
      </x:c>
      <x:c r="I143" s="2" t="str">
        <x:v>Yes</x:v>
      </x:c>
      <x:c r="J143" s="2"/>
      <x:c r="K143" s="6" t="str">
        <x:v>Input and context construction</x:v>
      </x:c>
      <x:c r="L143" s="2" t="str">
        <x:v>Conversation or memory context</x:v>
      </x:c>
      <x:c r="M143" s="2" t="str">
        <x:v>Conversation or memory context</x:v>
      </x:c>
      <x:c r="N143" s="2" t="str">
        <x:v>NA</x:v>
      </x:c>
      <x:c r="O143" s="2" t="str">
        <x:v>NA</x:v>
      </x:c>
      <x:c r="P143" s="2" t="str">
        <x:v>NA</x:v>
      </x:c>
      <x:c r="Q143" s="2" t="str">
        <x:v>No</x:v>
      </x:c>
      <x:c r="R143" s="2" t="str">
        <x:v>No</x:v>
      </x:c>
      <x:c r="S143" s="2" t="str">
        <x:v>No</x:v>
      </x:c>
      <x:c r="T143" s="2" t="str">
        <x:v>NA</x:v>
      </x:c>
      <x:c r="U143" s="6" t="str">
        <x:v>p. 5; Section III-D</x:v>
      </x:c>
      <x:c r="V143" s="6" t="str">
        <x:v>we continue the conversation with the model and instruct it to try generating the code a second time. We build a second user message and a second partial model response and feed this as new input into the model.</x:v>
      </x:c>
      <x:c r="W143" s="6" t="str">
        <x:v>通过延续对话实现上下文构建。</x:v>
      </x:c>
      <x:c r="X143" s="6" t="str">
        <x:v>NA</x:v>
      </x:c>
    </x:row>
    <x:row r="144" ht="76" customHeight="1">
      <x:c r="A144" s="2" t="str">
        <x:v>S23</x:v>
      </x:c>
      <x:c r="B144" s="2" t="str">
        <x:v>S23-CF04</x:v>
      </x:c>
      <x:c r="C144" s="2" t="str">
        <x:v>S23-MU02</x:v>
      </x:c>
      <x:c r="D144" s="2" t="str">
        <x:v>S23-O02</x:v>
      </x:c>
      <x:c r="E144" s="2" t="str">
        <x:v>Calling and orchestration</x:v>
      </x:c>
      <x:c r="F144" s="2" t="str">
        <x:v>Gradient-based requirement segment selection</x:v>
      </x:c>
      <x:c r="G144" s="2" t="str">
        <x:v>gradient_selection</x:v>
      </x:c>
      <x:c r="H144" s="6" t="str">
        <x:v>通过计算LLM输出梯度，池化后选择最低梯度段作为忽略需求，以指导重提示。</x:v>
      </x:c>
      <x:c r="I144" s="2" t="str">
        <x:v>No</x:v>
      </x:c>
      <x:c r="J144" s="2" t="str">
        <x:v>External workflow control or validation is analysed under RQ5 rather than as an LLM-side configuration.</x:v>
      </x:c>
      <x:c r="K144" s="6" t="str">
        <x:v>RQ5 boundary record</x:v>
      </x:c>
      <x:c r="L144" s="2" t="str">
        <x:v>External orchestration or validation</x:v>
      </x:c>
      <x:c r="M144" s="2"/>
      <x:c r="N144" s="2" t="str">
        <x:v>NA</x:v>
      </x:c>
      <x:c r="O144" s="2" t="str">
        <x:v>NA</x:v>
      </x:c>
      <x:c r="P144" s="2" t="str">
        <x:v>NA</x:v>
      </x:c>
      <x:c r="Q144" s="2" t="str">
        <x:v>NA</x:v>
      </x:c>
      <x:c r="R144" s="2" t="str">
        <x:v>NA</x:v>
      </x:c>
      <x:c r="S144" s="2" t="str">
        <x:v>No</x:v>
      </x:c>
      <x:c r="T144" s="2" t="str">
        <x:v>Automated reprompt decision based on gradient analysis</x:v>
      </x:c>
      <x:c r="U144" s="6" t="str">
        <x:v>p. 5; Section III-C</x:v>
      </x:c>
      <x:c r="V144" s="6" t="str">
        <x:v>For each of these pooling method, we select the segment with the lowest score as our ‘ignored’ requirement that will</x:v>
      </x:c>
      <x:c r="W144" s="6" t="str">
        <x:v>梯度分析自动化地决定重提示内容。</x:v>
      </x:c>
      <x:c r="X144" s="6" t="str">
        <x:v>NA</x:v>
      </x:c>
    </x:row>
    <x:row r="145" ht="76" customHeight="1">
      <x:c r="A145" s="2" t="str">
        <x:v>S24</x:v>
      </x:c>
      <x:c r="B145" s="2" t="str">
        <x:v>S24-CF01</x:v>
      </x:c>
      <x:c r="C145" s="2" t="str">
        <x:v>S24-MU01</x:v>
      </x:c>
      <x:c r="D145" s="2" t="str">
        <x:v>S24-O01</x:v>
      </x:c>
      <x:c r="E145" s="2" t="str">
        <x:v>Prompting</x:v>
      </x:c>
      <x:c r="F145" s="2" t="str">
        <x:v>structured prompt for regex profile synthesis</x:v>
      </x:c>
      <x:c r="G145" s="2" t="str">
        <x:v>prompt-regex-profile</x:v>
      </x:c>
      <x:c r="H145" s="6" t="str">
        <x:v>向LLM发送结构化提示，要求返回符合严格JSON模式的regex配置文件，提示包含文档样本peek及所需输出规范</x:v>
      </x:c>
      <x:c r="I145" s="2" t="str">
        <x:v>Yes</x:v>
      </x:c>
      <x:c r="J145" s="2"/>
      <x:c r="K145" s="6" t="str">
        <x:v>Prompt design</x:v>
      </x:c>
      <x:c r="L145" s="2" t="str">
        <x:v>Structured/template prompting</x:v>
      </x:c>
      <x:c r="M145" s="2" t="str">
        <x:v>Structured/template prompting</x:v>
      </x:c>
      <x:c r="N145" s="2" t="str">
        <x:v>Yes</x:v>
      </x:c>
      <x:c r="O145" s="2" t="str">
        <x:v>Partial description</x:v>
      </x:c>
      <x:c r="P145" s="2" t="str">
        <x:v>NA</x:v>
      </x:c>
      <x:c r="Q145" s="2" t="str">
        <x:v>No</x:v>
      </x:c>
      <x:c r="R145" s="2" t="str">
        <x:v>No</x:v>
      </x:c>
      <x:c r="S145" s="2" t="str">
        <x:v>No</x:v>
      </x:c>
      <x:c r="T145" s="2" t="str">
        <x:v>NA</x:v>
      </x:c>
      <x:c r="U145" s="6" t="str">
        <x:v>p. 3; section 2, LLM-driven rule induction</x:v>
      </x:c>
      <x:c r="V145" s="6" t="str">
        <x:v>a strict JSON “regex profile” that specifies: the requirement ID family, header and inline ID regexes, separators, a canonical field set with label patterns, a statement detector</x:v>
      </x:c>
      <x:c r="W145" s="6" t="str">
        <x:v>提示模板仅展示了输入/输出的JSON结构，未给出完整提示文本，但明确了约束条件和输出格式</x:v>
      </x:c>
      <x:c r="X145" s="6" t="str">
        <x:v>提示细节部分公开，属于Partial description</x:v>
      </x:c>
    </x:row>
    <x:row r="146" ht="76" customHeight="1">
      <x:c r="A146" s="2" t="str">
        <x:v>S25</x:v>
      </x:c>
      <x:c r="B146" s="2" t="str">
        <x:v>S25-CF01</x:v>
      </x:c>
      <x:c r="C146" s="2" t="str">
        <x:v>S25-MU01</x:v>
      </x:c>
      <x:c r="D146" s="2" t="str">
        <x:v>S25-O01</x:v>
      </x:c>
      <x:c r="E146" s="2" t="str">
        <x:v>Prompting</x:v>
      </x:c>
      <x:c r="F146" s="2" t="str">
        <x:v>Multi-Layer Prompt Architecture</x:v>
      </x:c>
      <x:c r="G146" s="2" t="str">
        <x:v>MultiLayerPrompt</x:v>
      </x:c>
      <x:c r="H146" s="6" t="str">
        <x:v>层次化提示结构，包含上下文层、规范层、模板层、验证层和增强层五层。</x:v>
      </x:c>
      <x:c r="I146" s="2" t="str">
        <x:v>Yes</x:v>
      </x:c>
      <x:c r="J146" s="2"/>
      <x:c r="K146" s="6" t="str">
        <x:v>Prompt design</x:v>
      </x:c>
      <x:c r="L146" s="2" t="str">
        <x:v>Iterative or staged prompting</x:v>
      </x:c>
      <x:c r="M146" s="2" t="str">
        <x:v>Iterative or staged prompting; Retrieved context</x:v>
      </x:c>
      <x:c r="N146" s="2" t="str">
        <x:v>No</x:v>
      </x:c>
      <x:c r="O146" s="2" t="str">
        <x:v>Partial description</x:v>
      </x:c>
      <x:c r="P146" s="2" t="str">
        <x:v>NR</x:v>
      </x:c>
      <x:c r="Q146" s="2" t="str">
        <x:v>Yes</x:v>
      </x:c>
      <x:c r="R146" s="2" t="str">
        <x:v>No</x:v>
      </x:c>
      <x:c r="S146" s="2" t="str">
        <x:v>No</x:v>
      </x:c>
      <x:c r="T146" s="2" t="str">
        <x:v>NR</x:v>
      </x:c>
      <x:c r="U146" s="6" t="str">
        <x:v>p. 5; Section III.F Prompt Engineering Framework</x:v>
      </x:c>
      <x:c r="V146" s="6" t="str">
        <x:v>Multi-Layer Prompt Architecture: The system employs a hierarchical prompt structure with five distinct layers:</x:v>
      </x:c>
      <x:c r="W146" s="6" t="str">
        <x:v>系统使用多层提示架构来指导LLM生成测试用例，该架构可能包含可追溯性相关的指令。</x:v>
      </x:c>
      <x:c r="X146" s="6" t="str">
        <x:v>此提示特征应用于所有LLM操作，此处仅关联M1。</x:v>
      </x:c>
    </x:row>
    <x:row r="147" ht="76" customHeight="1">
      <x:c r="A147" s="2" t="str">
        <x:v>S25</x:v>
      </x:c>
      <x:c r="B147" s="2" t="str">
        <x:v>S25-CF02</x:v>
      </x:c>
      <x:c r="C147" s="2" t="str">
        <x:v>S25-MU01</x:v>
      </x:c>
      <x:c r="D147" s="2" t="str">
        <x:v>S25-O01</x:v>
      </x:c>
      <x:c r="E147" s="2" t="str">
        <x:v>Calling and orchestration</x:v>
      </x:c>
      <x:c r="F147" s="2" t="str">
        <x:v>Dynamic Model Routing</x:v>
      </x:c>
      <x:c r="G147" s="2" t="str">
        <x:v>DynamicModelRouting</x:v>
      </x:c>
      <x:c r="H147" s="6" t="str">
        <x:v>根据任务复杂度、上下文需求和性能优化动态选择模型。</x:v>
      </x:c>
      <x:c r="I147" s="2" t="str">
        <x:v>Yes</x:v>
      </x:c>
      <x:c r="J147" s="2"/>
      <x:c r="K147" s="6" t="str">
        <x:v>Invocation control</x:v>
      </x:c>
      <x:c r="L147" s="2" t="str">
        <x:v>Model selection and routing</x:v>
      </x:c>
      <x:c r="M147" s="2"/>
      <x:c r="N147" s="2" t="str">
        <x:v>NA</x:v>
      </x:c>
      <x:c r="O147" s="2" t="str">
        <x:v>NA</x:v>
      </x:c>
      <x:c r="P147" s="2" t="str">
        <x:v>NA</x:v>
      </x:c>
      <x:c r="Q147" s="2" t="str">
        <x:v>No</x:v>
      </x:c>
      <x:c r="R147" s="2" t="str">
        <x:v>No</x:v>
      </x:c>
      <x:c r="S147" s="2" t="str">
        <x:v>No</x:v>
      </x:c>
      <x:c r="T147" s="2" t="str">
        <x:v>Dynamic routing between Mistral 7B and Gemini Pro based on complexity</x:v>
      </x:c>
      <x:c r="U147" s="6" t="str">
        <x:v>p. 5; Section III.C Model Selection Strategy</x:v>
      </x:c>
      <x:c r="V147" s="6" t="str">
        <x:v>Dynamic model routing based on task complexity, context requirements, and performance optimization.</x:v>
      </x:c>
      <x:c r="W147" s="6" t="str">
        <x:v>系统根据任务复杂性动态路由到不同的LLM，简单任务用Mistral 7B，复杂任务用Gemini Pro。</x:v>
      </x:c>
      <x:c r="X147" s="6" t="str">
        <x:v>此特征影响模型选择，适用于整个系统。</x:v>
      </x:c>
    </x:row>
    <x:row r="148" ht="76" customHeight="1">
      <x:c r="A148" s="2" t="str">
        <x:v>S25</x:v>
      </x:c>
      <x:c r="B148" s="2" t="str">
        <x:v>S25-CF03</x:v>
      </x:c>
      <x:c r="C148" s="2" t="str">
        <x:v>S25-MU01</x:v>
      </x:c>
      <x:c r="D148" s="2" t="str">
        <x:v>S25-O01</x:v>
      </x:c>
      <x:c r="E148" s="2" t="str">
        <x:v>Context construction</x:v>
      </x:c>
      <x:c r="F148" s="2" t="str">
        <x:v>Hybrid Vector-Graph Retrieval</x:v>
      </x:c>
      <x:c r="G148" s="2" t="str">
        <x:v>HybridVectorGraphRetrieval</x:v>
      </x:c>
      <x:c r="H148" s="6" t="str">
        <x:v>结合向量数据库的语义相似性搜索和图数据库的关系遍历来构建上下文。</x:v>
      </x:c>
      <x:c r="I148" s="2" t="str">
        <x:v>Yes</x:v>
      </x:c>
      <x:c r="J148" s="2"/>
      <x:c r="K148" s="6" t="str">
        <x:v>Input and context construction</x:v>
      </x:c>
      <x:c r="L148" s="2" t="str">
        <x:v>Retrieved context</x:v>
      </x:c>
      <x:c r="M148" s="2" t="str">
        <x:v>Retrieved context</x:v>
      </x:c>
      <x:c r="N148" s="2" t="str">
        <x:v>NA</x:v>
      </x:c>
      <x:c r="O148" s="2" t="str">
        <x:v>NA</x:v>
      </x:c>
      <x:c r="P148" s="2" t="str">
        <x:v>NA</x:v>
      </x:c>
      <x:c r="Q148" s="2" t="str">
        <x:v>Yes</x:v>
      </x:c>
      <x:c r="R148" s="2" t="str">
        <x:v>No</x:v>
      </x:c>
      <x:c r="S148" s="2" t="str">
        <x:v>No</x:v>
      </x:c>
      <x:c r="T148" s="2" t="str">
        <x:v>NR</x:v>
      </x:c>
      <x:c r="U148" s="6" t="str">
        <x:v>p. 4; Section II.C Hybrid Vector-Graph Knowledge System</x:v>
      </x:c>
      <x:c r="V148" s="6" t="str">
        <x:v>The knowledge system combines the semantic similarity capabilities of vector databases with the relationship-aware traversal of graph databases</x:v>
      </x:c>
      <x:c r="W148" s="6" t="str">
        <x:v>检索增强生成通过混合向量-图系统为LLM提供丰富上下文，有助于生成可追溯的测试用例。</x:v>
      </x:c>
      <x:c r="X148" s="6" t="str">
        <x:v>此特征为所有LLM操作提供上下文。</x:v>
      </x:c>
    </x:row>
    <x:row r="149" ht="76" customHeight="1">
      <x:c r="A149" s="2" t="str">
        <x:v>S25</x:v>
      </x:c>
      <x:c r="B149" s="2" t="str">
        <x:v>S25-CF04</x:v>
      </x:c>
      <x:c r="C149" s="2" t="str">
        <x:v>S25-MU01</x:v>
      </x:c>
      <x:c r="D149" s="2" t="str">
        <x:v>S25-O01</x:v>
      </x:c>
      <x:c r="E149" s="2" t="str">
        <x:v>Calling and orchestration</x:v>
      </x:c>
      <x:c r="F149" s="2" t="str">
        <x:v>Multi-Agent Orchestration</x:v>
      </x:c>
      <x:c r="G149" s="2" t="str">
        <x:v>MultiAgentOrchestration</x:v>
      </x:c>
      <x:c r="H149" s="6" t="str">
        <x:v>采用专门化自主代理协调软件测试的不同方面，包括代理如Modernized Test Case Agent用于生成测试用例。</x:v>
      </x:c>
      <x:c r="I149" s="2" t="str">
        <x:v>No</x:v>
      </x:c>
      <x:c r="J149" s="2" t="str">
        <x:v>External workflow control or validation is analysed under RQ5 rather than as an LLM-side configuration.</x:v>
      </x:c>
      <x:c r="K149" s="6" t="str">
        <x:v>RQ5 boundary record</x:v>
      </x:c>
      <x:c r="L149" s="2" t="str">
        <x:v>External orchestration or validation</x:v>
      </x:c>
      <x:c r="M149" s="2"/>
      <x:c r="N149" s="2" t="str">
        <x:v>NA</x:v>
      </x:c>
      <x:c r="O149" s="2" t="str">
        <x:v>NA</x:v>
      </x:c>
      <x:c r="P149" s="2" t="str">
        <x:v>NA</x:v>
      </x:c>
      <x:c r="Q149" s="2" t="str">
        <x:v>No</x:v>
      </x:c>
      <x:c r="R149" s="2" t="str">
        <x:v>No</x:v>
      </x:c>
      <x:c r="S149" s="2" t="str">
        <x:v>Yes, specialized agents for test planning, case creation, and validation</x:v>
      </x:c>
      <x:c r="T149" s="2" t="str">
        <x:v>Multi-agent workflow coordination using autonomous agents</x:v>
      </x:c>
      <x:c r="U149" s="6" t="str">
        <x:v>p. 3; Section II.B Multi-Agent Orchestration Layer</x:v>
      </x:c>
      <x:c r="V149" s="6" t="str">
        <x:v>The orchestration layer employs specialized autonomous agents, each optimized for specific aspects of software testing artifact generation:</x:v>
      </x:c>
      <x:c r="W149" s="6" t="str">
        <x:v>多代理编排协调多个专门化代理，其中测试用例生成代理直接参与可追溯性任务。</x:v>
      </x:c>
      <x:c r="X149" s="6" t="str">
        <x:v>此编排特征涉及LLM调用的协调。</x:v>
      </x:c>
    </x:row>
    <x:row r="150" ht="76" customHeight="1">
      <x:c r="A150" s="2" t="str">
        <x:v>S26</x:v>
      </x:c>
      <x:c r="B150" s="2" t="str">
        <x:v>S26-CF01</x:v>
      </x:c>
      <x:c r="C150" s="2" t="str">
        <x:v>S26-MU05</x:v>
      </x:c>
      <x:c r="D150" s="2" t="str">
        <x:v>S26-O01</x:v>
      </x:c>
      <x:c r="E150" s="2" t="str">
        <x:v>Prompting</x:v>
      </x:c>
      <x:c r="F150" s="2" t="str">
        <x:v>prompt engineering strategies</x:v>
      </x:c>
      <x:c r="G150" s="2" t="str">
        <x:v>LLM_Prompt_Engineering</x:v>
      </x:c>
      <x:c r="H150" s="6" t="str">
        <x:v>通过迭代提示词优化，引入思维链推理、任务分解、抽象层次对齐、系统上下文澄清等策略，提升零样本下的链接预测准确率。</x:v>
      </x:c>
      <x:c r="I150" s="2" t="str">
        <x:v>Yes</x:v>
      </x:c>
      <x:c r="J150" s="2"/>
      <x:c r="K150" s="6" t="str">
        <x:v>Prompt design</x:v>
      </x:c>
      <x:c r="L150" s="2" t="str">
        <x:v>Task-specific prompting</x:v>
      </x:c>
      <x:c r="M150" s="2"/>
      <x:c r="N150" s="2" t="str">
        <x:v>No</x:v>
      </x:c>
      <x:c r="O150" s="2" t="str">
        <x:v>Not reported</x:v>
      </x:c>
      <x:c r="P150" s="2" t="str">
        <x:v>NR</x:v>
      </x:c>
      <x:c r="Q150" s="2" t="str">
        <x:v>No</x:v>
      </x:c>
      <x:c r="R150" s="2" t="str">
        <x:v>No</x:v>
      </x:c>
      <x:c r="S150" s="2" t="str">
        <x:v>No</x:v>
      </x:c>
      <x:c r="T150" s="2" t="str">
        <x:v>NA</x:v>
      </x:c>
      <x:c r="U150" s="6" t="str">
        <x:v>p. 3; Section III-A</x:v>
      </x:c>
      <x:c r="V150" s="6" t="str">
        <x:v>Key improvements came from addressing abstraction mismatches, clarifying system context, and incorporating various traceability perspectives</x:v>
      </x:c>
      <x:c r="W150" s="6" t="str">
        <x:v>论文报告了一系列提示工程技巧，但未展示具体提示模板。</x:v>
      </x:c>
      <x:c r="X150" s="6" t="str">
        <x:v>NR</x:v>
      </x:c>
    </x:row>
    <x:row r="151" ht="76" customHeight="1">
      <x:c r="A151" s="2" t="str">
        <x:v>S26</x:v>
      </x:c>
      <x:c r="B151" s="2" t="str">
        <x:v>S26-CF02</x:v>
      </x:c>
      <x:c r="C151" s="2" t="str">
        <x:v>S26-MU05</x:v>
      </x:c>
      <x:c r="D151" s="2" t="str">
        <x:v>S26-O02</x:v>
      </x:c>
      <x:c r="E151" s="2" t="str">
        <x:v>Calling and orchestration</x:v>
      </x:c>
      <x:c r="F151" s="2" t="str">
        <x:v>VSM-LLM pipeline</x:v>
      </x:c>
      <x:c r="G151" s="2" t="str">
        <x:v>VSM_LLM_Orchestration</x:v>
      </x:c>
      <x:c r="H151" s="6" t="str">
        <x:v>先使用 VSM 生成初选链接列表，再将其作为上下文输入 LLM 进行精炼，形成两步式流程。</x:v>
      </x:c>
      <x:c r="I151" s="2" t="str">
        <x:v>No</x:v>
      </x:c>
      <x:c r="J151" s="2" t="str">
        <x:v>External workflow control or validation is analysed under RQ5 rather than as an LLM-side configuration.</x:v>
      </x:c>
      <x:c r="K151" s="6" t="str">
        <x:v>RQ5 boundary record</x:v>
      </x:c>
      <x:c r="L151" s="2" t="str">
        <x:v>External orchestration or validation</x:v>
      </x:c>
      <x:c r="M151" s="2"/>
      <x:c r="N151" s="2" t="str">
        <x:v>No</x:v>
      </x:c>
      <x:c r="O151" s="2" t="str">
        <x:v>Not reported</x:v>
      </x:c>
      <x:c r="P151" s="2" t="str">
        <x:v>NR</x:v>
      </x:c>
      <x:c r="Q151" s="2" t="str">
        <x:v>No</x:v>
      </x:c>
      <x:c r="R151" s="2" t="str">
        <x:v>No</x:v>
      </x:c>
      <x:c r="S151" s="2" t="str">
        <x:v>No</x:v>
      </x:c>
      <x:c r="T151" s="2" t="str">
        <x:v>VSM → LLM refinement</x:v>
      </x:c>
      <x:c r="U151" s="6" t="str">
        <x:v>p. 3; Section III-A</x:v>
      </x:c>
      <x:c r="V151" s="6" t="str">
        <x:v>to generate an initial set of predictions that the LLM could then refine</x:v>
      </x:c>
      <x:c r="W151" s="6" t="str">
        <x:v>该配置特征体现了 LLM 与传统 IR 组件的协同工作流。</x:v>
      </x:c>
      <x:c r="X151" s="6" t="str">
        <x:v>NR</x:v>
      </x:c>
    </x:row>
    <x:row r="152" ht="76" customHeight="1">
      <x:c r="A152" s="2" t="str">
        <x:v>S26</x:v>
      </x:c>
      <x:c r="B152" s="2" t="str">
        <x:v>S26-CF03</x:v>
      </x:c>
      <x:c r="C152" s="2" t="str">
        <x:v>S26-MU05</x:v>
      </x:c>
      <x:c r="D152" s="2" t="str">
        <x:v>S26-O03</x:v>
      </x:c>
      <x:c r="E152" s="2" t="str">
        <x:v>Calling and orchestration</x:v>
      </x:c>
      <x:c r="F152" s="2" t="str">
        <x:v>hierarchy generation pipeline</x:v>
      </x:c>
      <x:c r="G152" s="2" t="str">
        <x:v>Pipeline_Orchestration</x:v>
      </x:c>
      <x:c r="H152" s="6" t="str">
        <x:v>通过聚类→LLM 生成→精炼→动态追溯链接的多步流水线，从代码构建多层文档体系。</x:v>
      </x:c>
      <x:c r="I152" s="2" t="str">
        <x:v>No</x:v>
      </x:c>
      <x:c r="J152" s="2" t="str">
        <x:v>External workflow control or validation is analysed under RQ5 rather than as an LLM-side configuration.</x:v>
      </x:c>
      <x:c r="K152" s="6" t="str">
        <x:v>RQ5 boundary record</x:v>
      </x:c>
      <x:c r="L152" s="2" t="str">
        <x:v>External orchestration or validation</x:v>
      </x:c>
      <x:c r="M152" s="2"/>
      <x:c r="N152" s="2" t="str">
        <x:v>No</x:v>
      </x:c>
      <x:c r="O152" s="2" t="str">
        <x:v>Not reported</x:v>
      </x:c>
      <x:c r="P152" s="2" t="str">
        <x:v>NR</x:v>
      </x:c>
      <x:c r="Q152" s="2" t="str">
        <x:v>No</x:v>
      </x:c>
      <x:c r="R152" s="2" t="str">
        <x:v>No</x:v>
      </x:c>
      <x:c r="S152" s="2" t="str">
        <x:v>No</x:v>
      </x:c>
      <x:c r="T152" s="2" t="str">
        <x:v>Clustering → LLM generation → refinement → link creation</x:v>
      </x:c>
      <x:c r="U152" s="6" t="str">
        <x:v>p. 3; Section III-B</x:v>
      </x:c>
      <x:c r="V152" s="6" t="str">
        <x:v>The pipeline includes a refinement step and then dynamically creates trace links</x:v>
      </x:c>
      <x:c r="W152" s="6" t="str">
        <x:v>围绕 LLM 生成能力设计的管道式编排，是 RQ2 的核心技术特征。</x:v>
      </x:c>
      <x:c r="X152" s="6" t="str">
        <x:v>NR</x:v>
      </x:c>
    </x:row>
    <x:row r="153" ht="76" customHeight="1">
      <x:c r="A153" s="2" t="str">
        <x:v>S26</x:v>
      </x:c>
      <x:c r="B153" s="2" t="str">
        <x:v>S26-CF04</x:v>
      </x:c>
      <x:c r="C153" s="2" t="str">
        <x:v>S26-MU05</x:v>
      </x:c>
      <x:c r="D153" s="2" t="str">
        <x:v>S26-O04</x:v>
      </x:c>
      <x:c r="E153" s="2" t="str">
        <x:v>Calling and orchestration</x:v>
      </x:c>
      <x:c r="F153" s="2" t="str">
        <x:v>QUEST-RL framework</x:v>
      </x:c>
      <x:c r="G153" s="2" t="str">
        <x:v>QUEST_RL_Framework</x:v>
      </x:c>
      <x:c r="H153" s="6" t="str">
        <x:v>框架先将安全标准分解为引导性问题，收集工程师的设计决策后，调用 LLM 自动生成可追溯需求。</x:v>
      </x:c>
      <x:c r="I153" s="2" t="str">
        <x:v>No</x:v>
      </x:c>
      <x:c r="J153" s="2" t="str">
        <x:v>External workflow control or validation is analysed under RQ5 rather than as an LLM-side configuration.</x:v>
      </x:c>
      <x:c r="K153" s="6" t="str">
        <x:v>RQ5 boundary record</x:v>
      </x:c>
      <x:c r="L153" s="2" t="str">
        <x:v>External orchestration or validation</x:v>
      </x:c>
      <x:c r="M153" s="2"/>
      <x:c r="N153" s="2" t="str">
        <x:v>No</x:v>
      </x:c>
      <x:c r="O153" s="2" t="str">
        <x:v>Not reported</x:v>
      </x:c>
      <x:c r="P153" s="2" t="str">
        <x:v>NR</x:v>
      </x:c>
      <x:c r="Q153" s="2" t="str">
        <x:v>No</x:v>
      </x:c>
      <x:c r="R153" s="2" t="str">
        <x:v>No</x:v>
      </x:c>
      <x:c r="S153" s="2" t="str">
        <x:v>No</x:v>
      </x:c>
      <x:c r="T153" s="2" t="str">
        <x:v>Guided questions → LLM transformation → traceable requirements</x:v>
      </x:c>
      <x:c r="U153" s="6" t="str">
        <x:v>p. 4; Section III-C</x:v>
      </x:c>
      <x:c r="V153" s="6" t="str">
        <x:v>These decisions are then automatically transformed into traceable, safety-focused requirements</x:v>
      </x:c>
      <x:c r="W153" s="6" t="str">
        <x:v>以人为中心、LLM 为执行器的编排框架，实现受监管环境下的需求自动生成。</x:v>
      </x:c>
      <x:c r="X153" s="6" t="str">
        <x:v>NR</x:v>
      </x:c>
    </x:row>
    <x:row r="154" ht="76" customHeight="1">
      <x:c r="A154" s="2" t="str">
        <x:v>S26</x:v>
      </x:c>
      <x:c r="B154" s="2" t="str">
        <x:v>S26-CF05</x:v>
      </x:c>
      <x:c r="C154" s="2" t="str">
        <x:v>S26-MU05</x:v>
      </x:c>
      <x:c r="D154" s="2" t="str">
        <x:v>S26-O05</x:v>
      </x:c>
      <x:c r="E154" s="2" t="str">
        <x:v>Calling and orchestration</x:v>
      </x:c>
      <x:c r="F154" s="2" t="str">
        <x:v>multi-tool orchestration</x:v>
      </x:c>
      <x:c r="G154" s="2" t="str">
        <x:v>Tool_Orchestration</x:v>
      </x:c>
      <x:c r="H154" s="6" t="str">
        <x:v>计划采用 Graph-RAG 检索文档、代码搜索定位代码段，并通过模型上下文协议（MCP）让 LLM 协调这些工具。</x:v>
      </x:c>
      <x:c r="I154" s="2" t="str">
        <x:v>No</x:v>
      </x:c>
      <x:c r="J154" s="2" t="str">
        <x:v>External workflow control or validation is analysed under RQ5 rather than as an LLM-side configuration.</x:v>
      </x:c>
      <x:c r="K154" s="6" t="str">
        <x:v>RQ5 boundary record</x:v>
      </x:c>
      <x:c r="L154" s="2" t="str">
        <x:v>External orchestration or validation</x:v>
      </x:c>
      <x:c r="M154" s="2"/>
      <x:c r="N154" s="2" t="str">
        <x:v>NR</x:v>
      </x:c>
      <x:c r="O154" s="2" t="str">
        <x:v>Not reported</x:v>
      </x:c>
      <x:c r="P154" s="2" t="str">
        <x:v>NR</x:v>
      </x:c>
      <x:c r="Q154" s="2" t="str">
        <x:v>Yes</x:v>
      </x:c>
      <x:c r="R154" s="2" t="str">
        <x:v>No</x:v>
      </x:c>
      <x:c r="S154" s="2" t="str">
        <x:v>Planned</x:v>
      </x:c>
      <x:c r="T154" s="2" t="str">
        <x:v>LLM + Graph-RAG + code search via MCP</x:v>
      </x:c>
      <x:c r="U154" s="6" t="str">
        <x:v>p. 4; Section III-D</x:v>
      </x:c>
      <x:c r="V154" s="6" t="str">
        <x:v>used to retrieve relevant contextual documentation, while code search strategies [33] will help identify pertinent segments of</x:v>
      </x:c>
      <x:c r="W154" s="6" t="str">
        <x:v>RQ4 尚在计划阶段，但清晰地规划了多工具协同的 LLM 代理工作流。</x:v>
      </x:c>
      <x:c r="X154" s="6" t="str">
        <x:v>RQ4 尚未实施</x:v>
      </x:c>
    </x:row>
    <x:row r="155" ht="76" customHeight="1">
      <x:c r="A155" s="2" t="str">
        <x:v>S27</x:v>
      </x:c>
      <x:c r="B155" s="2" t="str">
        <x:v>S27-CF01</x:v>
      </x:c>
      <x:c r="C155" s="2" t="str">
        <x:v>S27-MU01</x:v>
      </x:c>
      <x:c r="D155" s="2" t="str">
        <x:v>S27-O01</x:v>
      </x:c>
      <x:c r="E155" s="2" t="str">
        <x:v>Prompting</x:v>
      </x:c>
      <x:c r="F155" s="2" t="str">
        <x:v>KISS prompt (Prompt 1)</x:v>
      </x:c>
      <x:c r="G155" s="2" t="str">
        <x:v>KISS_prompt</x:v>
      </x:c>
      <x:c r="H155" s="6" t="str">
        <x:v>一个简单的零样本分类提示，询问LLM两个制品是否相关，回答yes或no。</x:v>
      </x:c>
      <x:c r="I155" s="2" t="str">
        <x:v>Yes</x:v>
      </x:c>
      <x:c r="J155" s="2"/>
      <x:c r="K155" s="6" t="str">
        <x:v>Prompt design</x:v>
      </x:c>
      <x:c r="L155" s="2" t="str">
        <x:v>Task-specific prompting</x:v>
      </x:c>
      <x:c r="M155" s="2"/>
      <x:c r="N155" s="2" t="str">
        <x:v>Yes</x:v>
      </x:c>
      <x:c r="O155" s="2" t="str">
        <x:v>Full prompt reported</x:v>
      </x:c>
      <x:c r="P155" s="2" t="str">
        <x:v>NA</x:v>
      </x:c>
      <x:c r="Q155" s="2" t="str">
        <x:v>No</x:v>
      </x:c>
      <x:c r="R155" s="2" t="str">
        <x:v>No</x:v>
      </x:c>
      <x:c r="S155" s="2" t="str">
        <x:v>No</x:v>
      </x:c>
      <x:c r="T155" s="2" t="str">
        <x:v>NA</x:v>
      </x:c>
      <x:c r="U155" s="6" t="str">
        <x:v>p. 2; Section III-A</x:v>
      </x:c>
      <x:c r="V155" s="6" t="str">
        <x:v>Question: Here are two parts of software development artifacts. source type: '''source content'''</x:v>
      </x:c>
      <x:c r="W155" s="6" t="str">
        <x:v>论文直接给出了完整的KISS提示模板，用于过滤步骤。</x:v>
      </x:c>
      <x:c r="X155" s="6" t="str">
        <x:v>NA</x:v>
      </x:c>
    </x:row>
    <x:row r="156" ht="76" customHeight="1">
      <x:c r="A156" s="2" t="str">
        <x:v>S27</x:v>
      </x:c>
      <x:c r="B156" s="2" t="str">
        <x:v>S27-CF02</x:v>
      </x:c>
      <x:c r="C156" s="2" t="str">
        <x:v>S27-MU01</x:v>
      </x:c>
      <x:c r="D156" s="2" t="str">
        <x:v>S27-O01</x:v>
      </x:c>
      <x:c r="E156" s="2" t="str">
        <x:v>Calling and orchestration</x:v>
      </x:c>
      <x:c r="F156" s="2" t="str">
        <x:v>Chaining Approach</x:v>
      </x:c>
      <x:c r="G156" s="2" t="str">
        <x:v>chaining</x:v>
      </x:c>
      <x:c r="H156" s="6" t="str">
        <x:v>多个LLM按参数规模从小到大顺序执行，每个LLM过滤候选对并传递给下一个，逐步收缩搜索空间。</x:v>
      </x:c>
      <x:c r="I156" s="2" t="str">
        <x:v>No</x:v>
      </x:c>
      <x:c r="J156" s="2" t="str">
        <x:v>External workflow control or validation is analysed under RQ5 rather than as an LLM-side configuration.</x:v>
      </x:c>
      <x:c r="K156" s="6" t="str">
        <x:v>RQ5 boundary record</x:v>
      </x:c>
      <x:c r="L156" s="2" t="str">
        <x:v>External orchestration or validation</x:v>
      </x:c>
      <x:c r="M156" s="2"/>
      <x:c r="N156" s="2" t="str">
        <x:v>NA</x:v>
      </x:c>
      <x:c r="O156" s="2" t="str">
        <x:v>NA</x:v>
      </x:c>
      <x:c r="P156" s="2" t="str">
        <x:v>NR</x:v>
      </x:c>
      <x:c r="Q156" s="2" t="str">
        <x:v>No</x:v>
      </x:c>
      <x:c r="R156" s="2" t="str">
        <x:v>No</x:v>
      </x:c>
      <x:c r="S156" s="2" t="str">
        <x:v>No</x:v>
      </x:c>
      <x:c r="T156" s="2" t="str">
        <x:v>sequential chaining</x:v>
      </x:c>
      <x:c r="U156" s="6" t="str">
        <x:v>p. 3; Section III-B1</x:v>
      </x:c>
      <x:c r="V156" s="6" t="str">
        <x:v>This method uses the LLMs sequentially to consecutively filter the set of candidate requirements. Each LLM forwards only those identified as potential matches to the next LLM in the chain. The models are arranged in order of increasing parameter size</x:v>
      </x:c>
      <x:c r="W156" s="6" t="str">
        <x:v>链式策略通过多个LLM顺序过滤，在保持高召回的同时减少候选对数量。</x:v>
      </x:c>
      <x:c r="X156" s="6" t="str">
        <x:v>NA</x:v>
      </x:c>
    </x:row>
    <x:row r="157" ht="76" customHeight="1">
      <x:c r="A157" s="2" t="str">
        <x:v>S27</x:v>
      </x:c>
      <x:c r="B157" s="2" t="str">
        <x:v>S27-CF03</x:v>
      </x:c>
      <x:c r="C157" s="2" t="str">
        <x:v>S27-MU01</x:v>
      </x:c>
      <x:c r="D157" s="2" t="str">
        <x:v>S27-O01</x:v>
      </x:c>
      <x:c r="E157" s="2" t="str">
        <x:v>Calling and orchestration</x:v>
      </x:c>
      <x:c r="F157" s="2" t="str">
        <x:v>Majority Voting Approach</x:v>
      </x:c>
      <x:c r="G157" s="2" t="str">
        <x:v>majority_voting</x:v>
      </x:c>
      <x:c r="H157" s="6" t="str">
        <x:v>分层投票策略：先由小型LLM预过滤，再由三个LLM独立分类，多数票决定是否保留候选对。</x:v>
      </x:c>
      <x:c r="I157" s="2" t="str">
        <x:v>No</x:v>
      </x:c>
      <x:c r="J157" s="2" t="str">
        <x:v>External workflow control or validation is analysed under RQ5 rather than as an LLM-side configuration.</x:v>
      </x:c>
      <x:c r="K157" s="6" t="str">
        <x:v>RQ5 boundary record</x:v>
      </x:c>
      <x:c r="L157" s="2" t="str">
        <x:v>External orchestration or validation</x:v>
      </x:c>
      <x:c r="M157" s="2"/>
      <x:c r="N157" s="2" t="str">
        <x:v>NA</x:v>
      </x:c>
      <x:c r="O157" s="2" t="str">
        <x:v>NA</x:v>
      </x:c>
      <x:c r="P157" s="2" t="str">
        <x:v>NR</x:v>
      </x:c>
      <x:c r="Q157" s="2" t="str">
        <x:v>No</x:v>
      </x:c>
      <x:c r="R157" s="2" t="str">
        <x:v>No</x:v>
      </x:c>
      <x:c r="S157" s="2" t="str">
        <x:v>No</x:v>
      </x:c>
      <x:c r="T157" s="2" t="str">
        <x:v>layered majority voting</x:v>
      </x:c>
      <x:c r="U157" s="6" t="str">
        <x:v>p. 3; Section III-B2</x:v>
      </x:c>
      <x:c r="V157" s="6" t="str">
        <x:v>we adopt a layered approach: a small, fast LLM first filters the candidate pairs, and only the reduced set is passed to the other models. In the second layer, three LLMs evaluate the remaining pairs, and a candidate is accepted as linked if at least two out of three models agree.</x:v>
      </x:c>
      <x:c r="W157" s="6" t="str">
        <x:v>多数投票策略结合了分层过滤，以提升过滤质量。</x:v>
      </x:c>
      <x:c r="X157" s="6" t="str">
        <x:v>NA</x:v>
      </x:c>
    </x:row>
    <x:row r="158" ht="76" customHeight="1">
      <x:c r="A158" s="2" t="str">
        <x:v>S27</x:v>
      </x:c>
      <x:c r="B158" s="2" t="str">
        <x:v>S27-CF04</x:v>
      </x:c>
      <x:c r="C158" s="2" t="str">
        <x:v>S27-MU05</x:v>
      </x:c>
      <x:c r="D158" s="2" t="str">
        <x:v>S27-O02</x:v>
      </x:c>
      <x:c r="E158" s="2" t="str">
        <x:v>Prompting</x:v>
      </x:c>
      <x:c r="F158" s="2" t="str">
        <x:v>Chain-of-thought prompt (Prompt 2)</x:v>
      </x:c>
      <x:c r="G158" s="2" t="str">
        <x:v>CoT_prompt</x:v>
      </x:c>
      <x:c r="H158" s="6" t="str">
        <x:v>要求LLM先推理两个制品间是否存在可追溯性链接，再将yes/no答案放入&lt;trace&gt;标签中。</x:v>
      </x:c>
      <x:c r="I158" s="2" t="str">
        <x:v>Yes</x:v>
      </x:c>
      <x:c r="J158" s="2"/>
      <x:c r="K158" s="6" t="str">
        <x:v>Prompt design</x:v>
      </x:c>
      <x:c r="L158" s="2" t="str">
        <x:v>Reasoning elicitation</x:v>
      </x:c>
      <x:c r="M158" s="2" t="str">
        <x:v>Reasoning elicitation</x:v>
      </x:c>
      <x:c r="N158" s="2" t="str">
        <x:v>Yes</x:v>
      </x:c>
      <x:c r="O158" s="2" t="str">
        <x:v>Full prompt reported</x:v>
      </x:c>
      <x:c r="P158" s="2" t="str">
        <x:v>NA</x:v>
      </x:c>
      <x:c r="Q158" s="2" t="str">
        <x:v>No</x:v>
      </x:c>
      <x:c r="R158" s="2" t="str">
        <x:v>No</x:v>
      </x:c>
      <x:c r="S158" s="2" t="str">
        <x:v>No</x:v>
      </x:c>
      <x:c r="T158" s="2" t="str">
        <x:v>NA</x:v>
      </x:c>
      <x:c r="U158" s="6" t="str">
        <x:v>p. 2; Section III-A</x:v>
      </x:c>
      <x:c r="V158" s="6" t="str">
        <x:v>Prompt 2: Chain-of-thought Below are two artifacts from the same software system. Is there a traceability link between (1) and (2)? Give your reasoning and then answer with 'yes' or 'no' enclosed in &lt;trace&gt; &lt;/trace&gt;.</x:v>
      </x:c>
      <x:c r="W158" s="6" t="str">
        <x:v>CoT提示引导LLM进行逐步推理，提高分类的准确性。</x:v>
      </x:c>
      <x:c r="X158" s="6" t="str">
        <x:v>NA</x:v>
      </x:c>
    </x:row>
    <x:row r="159" ht="76" customHeight="1">
      <x:c r="A159" s="2" t="str">
        <x:v>S28</x:v>
      </x:c>
      <x:c r="B159" s="2" t="str">
        <x:v>S28-CF01</x:v>
      </x:c>
      <x:c r="C159" s="2" t="str">
        <x:v>S28-MU03</x:v>
      </x:c>
      <x:c r="D159" s="2" t="str">
        <x:v>S28-O01</x:v>
      </x:c>
      <x:c r="E159" s="2" t="str">
        <x:v>Prompting</x:v>
      </x:c>
      <x:c r="F159" s="2" t="str">
        <x:v>code summarization prompt</x:v>
      </x:c>
      <x:c r="G159" s="2" t="str">
        <x:v>prompt_code_summary</x:v>
      </x:c>
      <x:c r="H159" s="6" t="str">
        <x:v>包含角色设定、输出格式、示例代码和文档模板的提示，引导LLM生成类摘要。</x:v>
      </x:c>
      <x:c r="I159" s="2" t="str">
        <x:v>Yes</x:v>
      </x:c>
      <x:c r="J159" s="2"/>
      <x:c r="K159" s="6" t="str">
        <x:v>Prompt design</x:v>
      </x:c>
      <x:c r="L159" s="2" t="str">
        <x:v>Few-shot/in-context examples</x:v>
      </x:c>
      <x:c r="M159" s="2" t="str">
        <x:v>Few-shot/in-context examples; Structured/template prompting</x:v>
      </x:c>
      <x:c r="N159" s="2" t="str">
        <x:v>Yes</x:v>
      </x:c>
      <x:c r="O159" s="2" t="str">
        <x:v>Full prompt reported</x:v>
      </x:c>
      <x:c r="P159" s="2" t="str">
        <x:v>1</x:v>
      </x:c>
      <x:c r="Q159" s="2" t="str">
        <x:v>No</x:v>
      </x:c>
      <x:c r="R159" s="2" t="str">
        <x:v>No</x:v>
      </x:c>
      <x:c r="S159" s="2" t="str">
        <x:v>No</x:v>
      </x:c>
      <x:c r="T159" s="2" t="str">
        <x:v>NA</x:v>
      </x:c>
      <x:c r="U159" s="6" t="str">
        <x:v>p. 8; Section 4.1 Code Summary Generation</x:v>
      </x:c>
      <x:c r="V159" s="6" t="str">
        <x:v>You are an expert in summarizing code. Given a class in a Java code file, generate a class summary that can be used to map the code to a given use case requirement of the provided java code. The summary should capture the purpose of the class and its attributes and methods. Given a doc with the following structure that will be useful for use case requirements with code elements traceability: ⟨DOC_TEMPLATE⟩. Code example: ⟨CODE_EXAMPLE⟩ Provide the summary in simple abstract use case scenario language in the following format: Class Name: &lt;Class Summary&gt; Method Name: &lt;Method Summary&gt; . . Method Name N: &lt;Method Summary N&gt; Here is the code - ⟨code⟩</x:v>
      </x:c>
      <x:c r="W159" s="6" t="str">
        <x:v>提示工程，提供详细的代码摘要指令和输出格式，属于提示特征，包含一个少示例。</x:v>
      </x:c>
      <x:c r="X159" s="6" t="str">
        <x:v>NR</x:v>
      </x:c>
    </x:row>
    <x:row r="160" ht="76" customHeight="1">
      <x:c r="A160" s="2" t="str">
        <x:v>S28</x:v>
      </x:c>
      <x:c r="B160" s="2" t="str">
        <x:v>S28-CF02</x:v>
      </x:c>
      <x:c r="C160" s="2" t="str">
        <x:v>S28-MU03</x:v>
      </x:c>
      <x:c r="D160" s="2" t="str">
        <x:v>S28-O02</x:v>
      </x:c>
      <x:c r="E160" s="2" t="str">
        <x:v>Prompting</x:v>
      </x:c>
      <x:c r="F160" s="2" t="str">
        <x:v>query expansion generation prompt</x:v>
      </x:c>
      <x:c r="G160" s="2" t="str">
        <x:v>prompt_query_exp</x:v>
      </x:c>
      <x:c r="H160" s="6" t="str">
        <x:v>LLM使用未公开的提示生成语义相似需求。</x:v>
      </x:c>
      <x:c r="I160" s="2" t="str">
        <x:v>Yes</x:v>
      </x:c>
      <x:c r="J160" s="2"/>
      <x:c r="K160" s="6" t="str">
        <x:v>Prompt design</x:v>
      </x:c>
      <x:c r="L160" s="2" t="str">
        <x:v>Task-specific prompting</x:v>
      </x:c>
      <x:c r="M160" s="2"/>
      <x:c r="N160" s="2" t="str">
        <x:v>Unclear</x:v>
      </x:c>
      <x:c r="O160" s="2" t="str">
        <x:v>Not reported</x:v>
      </x:c>
      <x:c r="P160" s="2" t="str">
        <x:v>NR</x:v>
      </x:c>
      <x:c r="Q160" s="2" t="str">
        <x:v>No</x:v>
      </x:c>
      <x:c r="R160" s="2" t="str">
        <x:v>No</x:v>
      </x:c>
      <x:c r="S160" s="2" t="str">
        <x:v>No</x:v>
      </x:c>
      <x:c r="T160" s="2" t="str">
        <x:v>NA</x:v>
      </x:c>
      <x:c r="U160" s="6" t="str">
        <x:v>p. 10; Section 4.2 second paragraph</x:v>
      </x:c>
      <x:c r="V160" s="6" t="str">
        <x:v>we employ query expansion by generating semantically similar requirements. We use LLM to generate these similar requirements</x:v>
      </x:c>
      <x:c r="W160" s="6" t="str">
        <x:v>查询扩展提示未报告，但提及使用LLM生成。</x:v>
      </x:c>
      <x:c r="X160" s="6" t="str">
        <x:v>NR</x:v>
      </x:c>
    </x:row>
    <x:row r="161" ht="76" customHeight="1">
      <x:c r="A161" s="2" t="str">
        <x:v>S28</x:v>
      </x:c>
      <x:c r="B161" s="2" t="str">
        <x:v>S28-CF03</x:v>
      </x:c>
      <x:c r="C161" s="2" t="str">
        <x:v>S28-MU03</x:v>
      </x:c>
      <x:c r="D161" s="2" t="str">
        <x:v>S28-O03</x:v>
      </x:c>
      <x:c r="E161" s="2" t="str">
        <x:v>Prompting</x:v>
      </x:c>
      <x:c r="F161" s="2" t="str">
        <x:v>requirement traceability prompt</x:v>
      </x:c>
      <x:c r="G161" s="2" t="str">
        <x:v>prompt_trace</x:v>
      </x:c>
      <x:c r="H161" s="6" t="str">
        <x:v>包含需求占位符和输出格式（JSON列表）的提示模板。</x:v>
      </x:c>
      <x:c r="I161" s="2" t="str">
        <x:v>Yes</x:v>
      </x:c>
      <x:c r="J161" s="2"/>
      <x:c r="K161" s="6" t="str">
        <x:v>Prompt design</x:v>
      </x:c>
      <x:c r="L161" s="2" t="str">
        <x:v>Structured/template prompting</x:v>
      </x:c>
      <x:c r="M161" s="2" t="str">
        <x:v>Retrieved context; Structured/template prompting</x:v>
      </x:c>
      <x:c r="N161" s="2" t="str">
        <x:v>Yes</x:v>
      </x:c>
      <x:c r="O161" s="2" t="str">
        <x:v>Full prompt reported</x:v>
      </x:c>
      <x:c r="P161" s="2" t="str">
        <x:v>0</x:v>
      </x:c>
      <x:c r="Q161" s="2" t="str">
        <x:v>Yes</x:v>
      </x:c>
      <x:c r="R161" s="2" t="str">
        <x:v>No</x:v>
      </x:c>
      <x:c r="S161" s="2" t="str">
        <x:v>No</x:v>
      </x:c>
      <x:c r="T161" s="2" t="str">
        <x:v>NA</x:v>
      </x:c>
      <x:c r="U161" s="6" t="str">
        <x:v>p. 10; Section 4.2 Requirement Traceability Prompt Generation</x:v>
      </x:c>
      <x:c r="V161" s="6" t="str">
        <x:v>What are the names of the classes that are related to the following use case requirement? ⟨requirement⟩ Provide the answer in a list format and provide ONLY the list of class names as a JSON list. [&lt;"Class 1 Name"&gt;, &lt;"Class 2 Name"&gt;,</x:v>
      </x:c>
      <x:c r="W161" s="6" t="str">
        <x:v>提示模板包含查询指令和输出约束，属于提示特征，无少示例。</x:v>
      </x:c>
      <x:c r="X161" s="6" t="str">
        <x:v>NR</x:v>
      </x:c>
    </x:row>
    <x:row r="162" ht="76" customHeight="1">
      <x:c r="A162" s="2" t="str">
        <x:v>S28</x:v>
      </x:c>
      <x:c r="B162" s="2" t="str">
        <x:v>S28-CF04</x:v>
      </x:c>
      <x:c r="C162" s="2" t="str">
        <x:v>S28-MU03</x:v>
      </x:c>
      <x:c r="D162" s="2" t="str">
        <x:v>S28-O03</x:v>
      </x:c>
      <x:c r="E162" s="2" t="str">
        <x:v>Context construction</x:v>
      </x:c>
      <x:c r="F162" s="2" t="str">
        <x:v>RAG context construction</x:v>
      </x:c>
      <x:c r="G162" s="2" t="str">
        <x:v>rag_context</x:v>
      </x:c>
      <x:c r="H162" s="6" t="str">
        <x:v>通过多索引检索（关键词、向量、知识图谱）组合构建上下文，以增强LLM的追溯能力。</x:v>
      </x:c>
      <x:c r="I162" s="2" t="str">
        <x:v>Yes</x:v>
      </x:c>
      <x:c r="J162" s="2"/>
      <x:c r="K162" s="6" t="str">
        <x:v>Input and context construction</x:v>
      </x:c>
      <x:c r="L162" s="2" t="str">
        <x:v>Retrieved context</x:v>
      </x:c>
      <x:c r="M162" s="2" t="str">
        <x:v>Retrieved context</x:v>
      </x:c>
      <x:c r="N162" s="2" t="str">
        <x:v>NA</x:v>
      </x:c>
      <x:c r="O162" s="2" t="str">
        <x:v>NA</x:v>
      </x:c>
      <x:c r="P162" s="2" t="str">
        <x:v>NA</x:v>
      </x:c>
      <x:c r="Q162" s="2" t="str">
        <x:v>Yes</x:v>
      </x:c>
      <x:c r="R162" s="2" t="str">
        <x:v>No</x:v>
      </x:c>
      <x:c r="S162" s="2" t="str">
        <x:v>No</x:v>
      </x:c>
      <x:c r="T162" s="2" t="str">
        <x:v>Multi-stage retrieval: RS1 keyword/vector, RS2 KG neighbors, RS3 semantic filter</x:v>
      </x:c>
      <x:c r="U162" s="6" t="str">
        <x:v>p. 11; Section 4.2 Response Generation</x:v>
      </x:c>
      <x:c r="V162" s="6" t="str">
        <x:v>the LLM receives the contextualized prompt, which includes the query, i.e., the natural language requirement and the relevant code elements and documentation.</x:v>
      </x:c>
      <x:c r="W162" s="6" t="str">
        <x:v>RAG上下文构建特征，结合多种索引检索相关文档。</x:v>
      </x:c>
      <x:c r="X162" s="6" t="str">
        <x:v>NR</x:v>
      </x:c>
    </x:row>
    <x:row r="163" ht="76" customHeight="1">
      <x:c r="A163" s="2" t="str">
        <x:v>S29</x:v>
      </x:c>
      <x:c r="B163" s="2" t="str">
        <x:v>S29-CF01</x:v>
      </x:c>
      <x:c r="C163" s="2" t="str">
        <x:v>S29-MU01</x:v>
      </x:c>
      <x:c r="D163" s="2" t="str">
        <x:v>S29-O01</x:v>
      </x:c>
      <x:c r="E163" s="2" t="str">
        <x:v>Prompting</x:v>
      </x:c>
      <x:c r="F163" s="2" t="str">
        <x:v>Prompt</x:v>
      </x:c>
      <x:c r="G163" s="2" t="str">
        <x:v>TVR-Prompt</x:v>
      </x:c>
      <x:c r="H163" s="6" t="str">
        <x:v>包含任务指令、XML标签分隔的输入和检索示例、输出要求为仅'Yes'或'No'的提示模板</x:v>
      </x:c>
      <x:c r="I163" s="2" t="str">
        <x:v>Yes</x:v>
      </x:c>
      <x:c r="J163" s="2"/>
      <x:c r="K163" s="6" t="str">
        <x:v>Prompt design</x:v>
      </x:c>
      <x:c r="L163" s="2" t="str">
        <x:v>Role/system/persona prompting</x:v>
      </x:c>
      <x:c r="M163" s="2" t="str">
        <x:v>Retrieved context; Role/system/persona prompting</x:v>
      </x:c>
      <x:c r="N163" s="2" t="str">
        <x:v>Yes</x:v>
      </x:c>
      <x:c r="O163" s="2" t="str">
        <x:v>Full prompt reported</x:v>
      </x:c>
      <x:c r="P163" s="2" t="str">
        <x:v>6</x:v>
      </x:c>
      <x:c r="Q163" s="2" t="str">
        <x:v>Yes</x:v>
      </x:c>
      <x:c r="R163" s="2" t="str">
        <x:v>No</x:v>
      </x:c>
      <x:c r="S163" s="2" t="str">
        <x:v>No</x:v>
      </x:c>
      <x:c r="T163" s="2" t="str">
        <x:v>NA</x:v>
      </x:c>
      <x:c r="U163" s="6" t="str">
        <x:v>p. 10; Figure 4</x:v>
      </x:c>
      <x:c r="V163" s="6" t="str">
        <x:v>Please check if the message or signal from the stakeholder requirement is correctly covered by the system requirement.</x:v>
      </x:c>
      <x:c r="W163" s="6" t="str">
        <x:v>提示清晰地定义了任务、约束和输出格式，并包含了检索到的6个示例。</x:v>
      </x:c>
      <x:c r="X163" s="6" t="str">
        <x:v>few_shot_count=6是因为K=3，检索3个正例和3个负例。</x:v>
      </x:c>
    </x:row>
    <x:row r="164" ht="76" customHeight="1">
      <x:c r="A164" s="2" t="str">
        <x:v>S29</x:v>
      </x:c>
      <x:c r="B164" s="2" t="str">
        <x:v>S29-CF02</x:v>
      </x:c>
      <x:c r="C164" s="2" t="str">
        <x:v>S29-MU01</x:v>
      </x:c>
      <x:c r="D164" s="2" t="str">
        <x:v>S29-O01</x:v>
      </x:c>
      <x:c r="E164" s="2" t="str">
        <x:v>Context construction</x:v>
      </x:c>
      <x:c r="F164" s="2" t="str">
        <x:v>RAG</x:v>
      </x:c>
      <x:c r="G164" s="2" t="str">
        <x:v>TVR-RAG</x:v>
      </x:c>
      <x:c r="H164" s="6" t="str">
        <x:v>利用Amazon Titan生成需求对嵌入，通过FAISS和余弦相似度检索最相似的k个正例和k个负例（k=3），作为提示中的上下文示例。</x:v>
      </x:c>
      <x:c r="I164" s="2" t="str">
        <x:v>Yes</x:v>
      </x:c>
      <x:c r="J164" s="2"/>
      <x:c r="K164" s="6" t="str">
        <x:v>Input and context construction</x:v>
      </x:c>
      <x:c r="L164" s="2" t="str">
        <x:v>Retrieved context</x:v>
      </x:c>
      <x:c r="M164" s="2" t="str">
        <x:v>Few-shot/in-context examples; Retrieved context</x:v>
      </x:c>
      <x:c r="N164" s="2" t="str">
        <x:v>NA</x:v>
      </x:c>
      <x:c r="O164" s="2" t="str">
        <x:v>NA</x:v>
      </x:c>
      <x:c r="P164" s="2" t="str">
        <x:v>6</x:v>
      </x:c>
      <x:c r="Q164" s="2" t="str">
        <x:v>Yes</x:v>
      </x:c>
      <x:c r="R164" s="2" t="str">
        <x:v>No</x:v>
      </x:c>
      <x:c r="S164" s="2" t="str">
        <x:v>No</x:v>
      </x:c>
      <x:c r="T164" s="2" t="str">
        <x:v>NA</x:v>
      </x:c>
      <x:c r="U164" s="6" t="str">
        <x:v>p. 8; Section 3.1</x:v>
      </x:c>
      <x:c r="V164" s="6" t="str">
        <x:v>TVR retrieves similar examples from Dtrain</x:v>
      </x:c>
      <x:c r="W164" s="6" t="str">
        <x:v>RAG是TVR的核心，通过检索相似示例增强LLM的上下文学习。</x:v>
      </x:c>
      <x:c r="X164" s="6" t="str">
        <x:v>最佳配置k=3且余弦相似度来自p.18 Figure 5。</x:v>
      </x:c>
    </x:row>
    <x:row r="165" ht="76" customHeight="1">
      <x:c r="A165" s="2" t="str">
        <x:v>S29</x:v>
      </x:c>
      <x:c r="B165" s="2" t="str">
        <x:v>S29-CF03</x:v>
      </x:c>
      <x:c r="C165" s="2" t="str">
        <x:v>S29-MU02</x:v>
      </x:c>
      <x:c r="D165" s="2" t="str">
        <x:v>S29-O02</x:v>
      </x:c>
      <x:c r="E165" s="2" t="str">
        <x:v>Prompting</x:v>
      </x:c>
      <x:c r="F165" s="2" t="str">
        <x:v>Prompt</x:v>
      </x:c>
      <x:c r="G165" s="2" t="str">
        <x:v>TVR-Prompt</x:v>
      </x:c>
      <x:c r="H165" s="6" t="str">
        <x:v>与验证任务相同的提示模板，包含任务指令、XML标签和输出约束。</x:v>
      </x:c>
      <x:c r="I165" s="2" t="str">
        <x:v>Yes</x:v>
      </x:c>
      <x:c r="J165" s="2"/>
      <x:c r="K165" s="6" t="str">
        <x:v>Prompt design</x:v>
      </x:c>
      <x:c r="L165" s="2" t="str">
        <x:v>Task-specific prompting</x:v>
      </x:c>
      <x:c r="M165" s="2" t="str">
        <x:v>Retrieved context</x:v>
      </x:c>
      <x:c r="N165" s="2" t="str">
        <x:v>Yes</x:v>
      </x:c>
      <x:c r="O165" s="2" t="str">
        <x:v>Full prompt reported</x:v>
      </x:c>
      <x:c r="P165" s="2" t="str">
        <x:v>6</x:v>
      </x:c>
      <x:c r="Q165" s="2" t="str">
        <x:v>Yes</x:v>
      </x:c>
      <x:c r="R165" s="2" t="str">
        <x:v>No</x:v>
      </x:c>
      <x:c r="S165" s="2" t="str">
        <x:v>No</x:v>
      </x:c>
      <x:c r="T165" s="2" t="str">
        <x:v>NA</x:v>
      </x:c>
      <x:c r="U165" s="6" t="str">
        <x:v>p. 10; Figure 4</x:v>
      </x:c>
      <x:c r="V165" s="6" t="str">
        <x:v>Please check if the message or signal</x:v>
      </x:c>
      <x:c r="W165" s="6" t="str">
        <x:v>恢复任务使用完全相同的提示，LLM输出'Yes'即认为存在缺失链接。</x:v>
      </x:c>
      <x:c r="X165" s="6" t="str">
        <x:v>同F1，但应用于O2。</x:v>
      </x:c>
    </x:row>
    <x:row r="166" ht="76" customHeight="1">
      <x:c r="A166" s="2" t="str">
        <x:v>S29</x:v>
      </x:c>
      <x:c r="B166" s="2" t="str">
        <x:v>S29-CF04</x:v>
      </x:c>
      <x:c r="C166" s="2" t="str">
        <x:v>S29-MU02</x:v>
      </x:c>
      <x:c r="D166" s="2" t="str">
        <x:v>S29-O02</x:v>
      </x:c>
      <x:c r="E166" s="2" t="str">
        <x:v>Context construction</x:v>
      </x:c>
      <x:c r="F166" s="2" t="str">
        <x:v>RAG</x:v>
      </x:c>
      <x:c r="G166" s="2" t="str">
        <x:v>TVR-RAG</x:v>
      </x:c>
      <x:c r="H166" s="6" t="str">
        <x:v>与验证任务相同的RAG配置：使用Amazon Titan和FAISS检索k=3正负例，余弦相似度。</x:v>
      </x:c>
      <x:c r="I166" s="2" t="str">
        <x:v>Yes</x:v>
      </x:c>
      <x:c r="J166" s="2"/>
      <x:c r="K166" s="6" t="str">
        <x:v>Input and context construction</x:v>
      </x:c>
      <x:c r="L166" s="2" t="str">
        <x:v>Retrieved context</x:v>
      </x:c>
      <x:c r="M166" s="2" t="str">
        <x:v>Few-shot/in-context examples; Retrieved context</x:v>
      </x:c>
      <x:c r="N166" s="2" t="str">
        <x:v>NA</x:v>
      </x:c>
      <x:c r="O166" s="2" t="str">
        <x:v>NA</x:v>
      </x:c>
      <x:c r="P166" s="2" t="str">
        <x:v>6</x:v>
      </x:c>
      <x:c r="Q166" s="2" t="str">
        <x:v>Yes</x:v>
      </x:c>
      <x:c r="R166" s="2" t="str">
        <x:v>No</x:v>
      </x:c>
      <x:c r="S166" s="2" t="str">
        <x:v>No</x:v>
      </x:c>
      <x:c r="T166" s="2" t="str">
        <x:v>NA</x:v>
      </x:c>
      <x:c r="U166" s="6" t="str">
        <x:v>p. 8; Section 3.1; Section 5.2</x:v>
      </x:c>
      <x:c r="V166" s="6" t="str">
        <x:v>TVR retrieves similar examples from Dtrain</x:v>
      </x:c>
      <x:c r="W166" s="6" t="str">
        <x:v>恢复任务中的RAG配置与验证任务一致。</x:v>
      </x:c>
      <x:c r="X166" s="6" t="str">
        <x:v>同F2，但应用于O2。</x:v>
      </x:c>
    </x:row>
    <x:row r="167" ht="76" customHeight="1">
      <x:c r="A167" s="2" t="str">
        <x:v>S30</x:v>
      </x:c>
      <x:c r="B167" s="2" t="str">
        <x:v>S30-CF01</x:v>
      </x:c>
      <x:c r="C167" s="2" t="str">
        <x:v>S30-MU04</x:v>
      </x:c>
      <x:c r="D167" s="2" t="str">
        <x:v>S30-O03</x:v>
      </x:c>
      <x:c r="E167" s="2" t="str">
        <x:v>Prompting</x:v>
      </x:c>
      <x:c r="F167" s="2" t="str">
        <x:v>query generation prompt template</x:v>
      </x:c>
      <x:c r="G167" s="2" t="str">
        <x:v>query_gen_prompt</x:v>
      </x:c>
      <x:c r="H167" s="6" t="str">
        <x:v>用于生成Cypher查询的提示模板，包含知识图谱schema和用户问题；在入职用例初始版中未使用少样本示例</x:v>
      </x:c>
      <x:c r="I167" s="2" t="str">
        <x:v>Yes</x:v>
      </x:c>
      <x:c r="J167" s="2"/>
      <x:c r="K167" s="6" t="str">
        <x:v>Prompt design</x:v>
      </x:c>
      <x:c r="L167" s="2" t="str">
        <x:v>Structured/template prompting</x:v>
      </x:c>
      <x:c r="M167" s="2" t="str">
        <x:v>Structured/template prompting</x:v>
      </x:c>
      <x:c r="N167" s="2" t="str">
        <x:v>Yes</x:v>
      </x:c>
      <x:c r="O167" s="2" t="str">
        <x:v>Partial description</x:v>
      </x:c>
      <x:c r="P167" s="2" t="str">
        <x:v>0</x:v>
      </x:c>
      <x:c r="Q167" s="2" t="str">
        <x:v>No</x:v>
      </x:c>
      <x:c r="R167" s="2" t="str">
        <x:v>No</x:v>
      </x:c>
      <x:c r="S167" s="2" t="str">
        <x:v>No</x:v>
      </x:c>
      <x:c r="T167" s="2" t="str">
        <x:v>NR</x:v>
      </x:c>
      <x:c r="U167" s="6" t="str">
        <x:v>p. 3; Section III-B</x:v>
      </x:c>
      <x:c r="V167" s="6" t="str">
        <x:v>The first template is used to create the query generation prompt, which incorporates the schema of the knowledge graph and the user’s question.</x:v>
      </x:c>
      <x:c r="W167" s="6" t="str">
        <x:v>该模板是查询生成的关键配置，未嵌入少样本，依赖零样本能力</x:v>
      </x:c>
      <x:c r="X167" s="6" t="str">
        <x:v>NA</x:v>
      </x:c>
    </x:row>
    <x:row r="168" ht="76" customHeight="1">
      <x:c r="A168" s="2" t="str">
        <x:v>S30</x:v>
      </x:c>
      <x:c r="B168" s="2" t="str">
        <x:v>S30-CF02</x:v>
      </x:c>
      <x:c r="C168" s="2" t="str">
        <x:v>S30-MU04</x:v>
      </x:c>
      <x:c r="D168" s="2" t="str">
        <x:v>S30-O04</x:v>
      </x:c>
      <x:c r="E168" s="2" t="str">
        <x:v>Prompting</x:v>
      </x:c>
      <x:c r="F168" s="2" t="str">
        <x:v>NL response prompt template (software engineer persona)</x:v>
      </x:c>
      <x:c r="G168" s="2" t="str">
        <x:v>nl_response_prompt_SE</x:v>
      </x:c>
      <x:c r="H168" s="6" t="str">
        <x:v>用于生成最终自然语言回答的提示模板，包含软件工程师persona、用户问题及检索上下文，如图2所示</x:v>
      </x:c>
      <x:c r="I168" s="2" t="str">
        <x:v>Yes</x:v>
      </x:c>
      <x:c r="J168" s="2"/>
      <x:c r="K168" s="6" t="str">
        <x:v>Prompt design</x:v>
      </x:c>
      <x:c r="L168" s="2" t="str">
        <x:v>Role/system/persona prompting</x:v>
      </x:c>
      <x:c r="M168" s="2" t="str">
        <x:v>Role/system/persona prompting; Structured/template prompting</x:v>
      </x:c>
      <x:c r="N168" s="2" t="str">
        <x:v>Yes</x:v>
      </x:c>
      <x:c r="O168" s="2" t="str">
        <x:v>Full prompt reported</x:v>
      </x:c>
      <x:c r="P168" s="2" t="str">
        <x:v>0</x:v>
      </x:c>
      <x:c r="Q168" s="2" t="str">
        <x:v>No</x:v>
      </x:c>
      <x:c r="R168" s="2" t="str">
        <x:v>No</x:v>
      </x:c>
      <x:c r="S168" s="2" t="str">
        <x:v>No</x:v>
      </x:c>
      <x:c r="T168" s="2" t="str">
        <x:v>NR</x:v>
      </x:c>
      <x:c r="U168" s="6" t="str">
        <x:v>p. 5; Section IV</x:v>
      </x:c>
      <x:c r="V168" s="6" t="str">
        <x:v>We selected the software engineer prompt template with Llama 3.1 (8B)</x:v>
      </x:c>
      <x:c r="W168" s="6" t="str">
        <x:v>入职用例中指定了软件工程师persona，模板全文可见于图2</x:v>
      </x:c>
      <x:c r="X168" s="6" t="str">
        <x:v>FP2 corresponds to Fig. 2 template</x:v>
      </x:c>
    </x:row>
    <x:row r="169" ht="76" customHeight="1">
      <x:c r="A169" s="2" t="str">
        <x:v>S30</x:v>
      </x:c>
      <x:c r="B169" s="2" t="str">
        <x:v>S30-CF03</x:v>
      </x:c>
      <x:c r="C169" s="2" t="str">
        <x:v>S30-MU04</x:v>
      </x:c>
      <x:c r="D169" s="2" t="str">
        <x:v>S30-O03</x:v>
      </x:c>
      <x:c r="E169" s="2" t="str">
        <x:v>Prompting</x:v>
      </x:c>
      <x:c r="F169" s="2" t="str">
        <x:v>improved query generation prompt template with few-shot examples</x:v>
      </x:c>
      <x:c r="G169" s="2" t="str">
        <x:v>query_gen_prompt_fewshot</x:v>
      </x:c>
      <x:c r="H169" s="6" t="str">
        <x:v>改进后的查询生成提示模板，在原有基础上添加了5个少样本示例（PQ1-PQ5），以提升查询准确性</x:v>
      </x:c>
      <x:c r="I169" s="2" t="str">
        <x:v>Yes</x:v>
      </x:c>
      <x:c r="J169" s="2"/>
      <x:c r="K169" s="6" t="str">
        <x:v>Prompt design</x:v>
      </x:c>
      <x:c r="L169" s="2" t="str">
        <x:v>Few-shot/in-context examples</x:v>
      </x:c>
      <x:c r="M169" s="2" t="str">
        <x:v>Few-shot/in-context examples; Structured/template prompting</x:v>
      </x:c>
      <x:c r="N169" s="2" t="str">
        <x:v>Yes</x:v>
      </x:c>
      <x:c r="O169" s="2" t="str">
        <x:v>Partial description</x:v>
      </x:c>
      <x:c r="P169" s="2" t="str">
        <x:v>5</x:v>
      </x:c>
      <x:c r="Q169" s="2" t="str">
        <x:v>No</x:v>
      </x:c>
      <x:c r="R169" s="2" t="str">
        <x:v>No</x:v>
      </x:c>
      <x:c r="S169" s="2" t="str">
        <x:v>No</x:v>
      </x:c>
      <x:c r="T169" s="2" t="str">
        <x:v>NR</x:v>
      </x:c>
      <x:c r="U169" s="6" t="str">
        <x:v>p. 7; Section IV (GDI Improvements)</x:v>
      </x:c>
      <x:c r="V169" s="6" t="str">
        <x:v>We used these questions as input for few-shot prompting and incorporated them into the query generation prompt template.</x:v>
      </x:c>
      <x:c r="W169" s="6" t="str">
        <x:v>TLR用例使用了入职用例改进后的版本，引入了5个示例以缓解查询错误</x:v>
      </x:c>
      <x:c r="X169" s="6" t="str">
        <x:v>TLR采用改进版，包含PQ1-PQ5</x:v>
      </x:c>
    </x:row>
    <x:row r="170" ht="76" customHeight="1">
      <x:c r="A170" s="2" t="str">
        <x:v>S30</x:v>
      </x:c>
      <x:c r="B170" s="2" t="str">
        <x:v>S30-CF04</x:v>
      </x:c>
      <x:c r="C170" s="2" t="str">
        <x:v>S30-MU04</x:v>
      </x:c>
      <x:c r="D170" s="2" t="str">
        <x:v>S30-O04</x:v>
      </x:c>
      <x:c r="E170" s="2" t="str">
        <x:v>Prompting</x:v>
      </x:c>
      <x:c r="F170" s="2" t="str">
        <x:v>NL response prompt template (various stakeholder personas)</x:v>
      </x:c>
      <x:c r="G170" s="2" t="str">
        <x:v>nl_response_prompt_various</x:v>
      </x:c>
      <x:c r="H170" s="6" t="str">
        <x:v>TLR用例中使用多种干系人persona（如全栈开发、DevOps工程师等）的NL响应模板，基本结构与图2一致</x:v>
      </x:c>
      <x:c r="I170" s="2" t="str">
        <x:v>Yes</x:v>
      </x:c>
      <x:c r="J170" s="2"/>
      <x:c r="K170" s="6" t="str">
        <x:v>Prompt design</x:v>
      </x:c>
      <x:c r="L170" s="2" t="str">
        <x:v>Role/system/persona prompting</x:v>
      </x:c>
      <x:c r="M170" s="2" t="str">
        <x:v>Role/system/persona prompting; Structured/template prompting</x:v>
      </x:c>
      <x:c r="N170" s="2" t="str">
        <x:v>Yes</x:v>
      </x:c>
      <x:c r="O170" s="2" t="str">
        <x:v>Full prompt reported</x:v>
      </x:c>
      <x:c r="P170" s="2" t="str">
        <x:v>0</x:v>
      </x:c>
      <x:c r="Q170" s="2" t="str">
        <x:v>No</x:v>
      </x:c>
      <x:c r="R170" s="2" t="str">
        <x:v>No</x:v>
      </x:c>
      <x:c r="S170" s="2" t="str">
        <x:v>No</x:v>
      </x:c>
      <x:c r="T170" s="2" t="str">
        <x:v>NR</x:v>
      </x:c>
      <x:c r="U170" s="6" t="str">
        <x:v>p. 7; Section V</x:v>
      </x:c>
      <x:c r="V170" s="6" t="str">
        <x:v>We used various stakeholder persona prompt templates with Llama3.1</x:v>
      </x:c>
      <x:c r="W170" s="6" t="str">
        <x:v>根据参与者角色选择不同的persona模板，但提示框架与图2一致</x:v>
      </x:c>
      <x:c r="X170" s="6" t="str">
        <x:v>NA</x:v>
      </x:c>
    </x:row>
    <x:row r="171" ht="76" customHeight="1">
      <x:c r="A171" s="2" t="str">
        <x:v>S31</x:v>
      </x:c>
      <x:c r="B171" s="2" t="str">
        <x:v>S31-CF01</x:v>
      </x:c>
      <x:c r="C171" s="2" t="str">
        <x:v>S31-MU01</x:v>
      </x:c>
      <x:c r="D171" s="2" t="str">
        <x:v>S31-O01</x:v>
      </x:c>
      <x:c r="E171" s="2" t="str">
        <x:v>Calling and orchestration</x:v>
      </x:c>
      <x:c r="F171" s="2" t="str">
        <x:v>CrewAI multi-agent orchestration</x:v>
      </x:c>
      <x:c r="G171" s="2" t="str">
        <x:v>crewai-orchestration</x:v>
      </x:c>
      <x:c r="H171" s="6" t="str">
        <x:v>使用CrewAI框架编排多个LLM代理有序协作</x:v>
      </x:c>
      <x:c r="I171" s="2" t="str">
        <x:v>No</x:v>
      </x:c>
      <x:c r="J171" s="2" t="str">
        <x:v>External workflow control or validation is analysed under RQ5 rather than as an LLM-side configuration.</x:v>
      </x:c>
      <x:c r="K171" s="6" t="str">
        <x:v>RQ5 boundary record</x:v>
      </x:c>
      <x:c r="L171" s="2" t="str">
        <x:v>External orchestration or validation</x:v>
      </x:c>
      <x:c r="M171" s="2"/>
      <x:c r="N171" s="2" t="str">
        <x:v>No</x:v>
      </x:c>
      <x:c r="O171" s="2" t="str">
        <x:v>Not reported</x:v>
      </x:c>
      <x:c r="P171" s="2" t="str">
        <x:v>NR</x:v>
      </x:c>
      <x:c r="Q171" s="2" t="str">
        <x:v>Unclear</x:v>
      </x:c>
      <x:c r="R171" s="2" t="str">
        <x:v>No</x:v>
      </x:c>
      <x:c r="S171" s="2" t="str">
        <x:v>Sequential</x:v>
      </x:c>
      <x:c r="T171" s="2" t="str">
        <x:v>CrewAI coordinates sequential agent execution with shared memory</x:v>
      </x:c>
      <x:c r="U171" s="6" t="str">
        <x:v>p. 3; Section III-B</x:v>
      </x:c>
      <x:c r="V171" s="6" t="str">
        <x:v>orchestrated with CrewAI</x:v>
      </x:c>
      <x:c r="W171" s="6" t="str">
        <x:v>原型利用CrewAI实现多代理的顺序协作，是核心的调用与编排特性</x:v>
      </x:c>
      <x:c r="X171" s="6" t="str">
        <x:v>代理具体prompt未公开</x:v>
      </x:c>
    </x:row>
    <x:row r="172" ht="76" customHeight="1">
      <x:c r="A172" s="2" t="str">
        <x:v>S31</x:v>
      </x:c>
      <x:c r="B172" s="2" t="str">
        <x:v>S31-CF02</x:v>
      </x:c>
      <x:c r="C172" s="2" t="str">
        <x:v>S31-MU01</x:v>
      </x:c>
      <x:c r="D172" s="2" t="str">
        <x:v>S31-O01</x:v>
      </x:c>
      <x:c r="E172" s="2" t="str">
        <x:v>Calling and orchestration</x:v>
      </x:c>
      <x:c r="F172" s="2" t="str">
        <x:v>Sequential execution with shared memory</x:v>
      </x:c>
      <x:c r="G172" s="2" t="str">
        <x:v>sequential-shared-memory</x:v>
      </x:c>
      <x:c r="H172" s="6" t="str">
        <x:v>代理按顺序执行，通过共享内存传递中间产物以避免覆盖前序工作</x:v>
      </x:c>
      <x:c r="I172" s="2" t="str">
        <x:v>No</x:v>
      </x:c>
      <x:c r="J172" s="2" t="str">
        <x:v>External workflow control or validation is analysed under RQ5 rather than as an LLM-side configuration.</x:v>
      </x:c>
      <x:c r="K172" s="6" t="str">
        <x:v>RQ5 boundary record</x:v>
      </x:c>
      <x:c r="L172" s="2" t="str">
        <x:v>External orchestration or validation</x:v>
      </x:c>
      <x:c r="M172" s="2"/>
      <x:c r="N172" s="2" t="str">
        <x:v>NA</x:v>
      </x:c>
      <x:c r="O172" s="2" t="str">
        <x:v>NA</x:v>
      </x:c>
      <x:c r="P172" s="2" t="str">
        <x:v>NR</x:v>
      </x:c>
      <x:c r="Q172" s="2" t="str">
        <x:v>NR</x:v>
      </x:c>
      <x:c r="R172" s="2" t="str">
        <x:v>NA</x:v>
      </x:c>
      <x:c r="S172" s="2" t="str">
        <x:v>Sequential</x:v>
      </x:c>
      <x:c r="T172" s="2" t="str">
        <x:v>Shared memory store enables sequential refinement</x:v>
      </x:c>
      <x:c r="U172" s="6" t="str">
        <x:v>p. 3; Section III-B</x:v>
      </x:c>
      <x:c r="V172" s="6" t="str">
        <x:v>the agents run sequentially, passing intermediate outputs such as the research done by the Researcher agent, through a shared memory store so that later agents refine, rather than overwrite, earlier work</x:v>
      </x:c>
      <x:c r="W172" s="6" t="str">
        <x:v>顺序执行和共享内存确保了代理间的信息无损传递，是协调多步LLM操作的关键编排特性</x:v>
      </x:c>
      <x:c r="X172" s="6" t="str">
        <x:v>NA</x:v>
      </x:c>
    </x:row>
    <x:row r="173" ht="76" customHeight="1">
      <x:c r="A173" s="2" t="str">
        <x:v>S32</x:v>
      </x:c>
      <x:c r="B173" s="2" t="str">
        <x:v>S32-CF01</x:v>
      </x:c>
      <x:c r="C173" s="2" t="str">
        <x:v>S32-MU01</x:v>
      </x:c>
      <x:c r="D173" s="2" t="str">
        <x:v>S32-O01</x:v>
      </x:c>
      <x:c r="E173" s="2" t="str">
        <x:v>Prompting</x:v>
      </x:c>
      <x:c r="F173" s="2" t="str">
        <x:v>Prompt engineering with metamodel and contextual examples</x:v>
      </x:c>
      <x:c r="G173" s="2" t="str">
        <x:v>prompt-engineering</x:v>
      </x:c>
      <x:c r="H173" s="6" t="str">
        <x:v>使用领域特定元模型和上下文示例的提示工程，引导LLM按照元模型定义提取结构化信息。</x:v>
      </x:c>
      <x:c r="I173" s="2" t="str">
        <x:v>Yes</x:v>
      </x:c>
      <x:c r="J173" s="2"/>
      <x:c r="K173" s="6" t="str">
        <x:v>Prompt design</x:v>
      </x:c>
      <x:c r="L173" s="2" t="str">
        <x:v>Few-shot/in-context examples</x:v>
      </x:c>
      <x:c r="M173" s="2" t="str">
        <x:v>Few-shot/in-context examples; Structured/template prompting</x:v>
      </x:c>
      <x:c r="N173" s="2" t="str">
        <x:v>Yes</x:v>
      </x:c>
      <x:c r="O173" s="2" t="str">
        <x:v>Partial description</x:v>
      </x:c>
      <x:c r="P173" s="2" t="str">
        <x:v>NR</x:v>
      </x:c>
      <x:c r="Q173" s="2" t="str">
        <x:v>No</x:v>
      </x:c>
      <x:c r="R173" s="2" t="str">
        <x:v>No</x:v>
      </x:c>
      <x:c r="S173" s="2" t="str">
        <x:v>No</x:v>
      </x:c>
      <x:c r="T173" s="2" t="str">
        <x:v>NR</x:v>
      </x:c>
      <x:c r="U173" s="6" t="str">
        <x:v>p. 4; section IV.A</x:v>
      </x:c>
      <x:c r="V173" s="6" t="str">
        <x:v>JSON/XML format that conforms to the metamodel semantics. Prompt templates embed the metamodel definition via &lt;metamodel-definition&gt; to enforce structural consistency and guide the model to act as a ”requirements analyst.”</x:v>
      </x:c>
      <x:c r="W173" s="6" t="str">
        <x:v>提示模板包含元模型定义和少量示例，但未提供完整提示文本或示例数量，属于部分描述。</x:v>
      </x:c>
      <x:c r="X173" s="6" t="str">
        <x:v>NA</x:v>
      </x:c>
    </x:row>
    <x:row r="174" ht="76" customHeight="1">
      <x:c r="A174" s="2" t="str">
        <x:v>S33</x:v>
      </x:c>
      <x:c r="B174" s="2" t="str">
        <x:v>S33-CF01</x:v>
      </x:c>
      <x:c r="C174" s="2" t="str">
        <x:v>S33-MU01</x:v>
      </x:c>
      <x:c r="D174" s="2" t="str">
        <x:v>S33-O01</x:v>
      </x:c>
      <x:c r="E174" s="2" t="str">
        <x:v>Prompting</x:v>
      </x:c>
      <x:c r="F174" s="2" t="str">
        <x:v>System prompt</x:v>
      </x:c>
      <x:c r="G174" s="2" t="str">
        <x:v>SYSPROMPT</x:v>
      </x:c>
      <x:c r="H174" s="6" t="str">
        <x:v>固定的系统提示，概述任务、输入格式、评估指南和JSON输出规范。</x:v>
      </x:c>
      <x:c r="I174" s="2" t="str">
        <x:v>Yes</x:v>
      </x:c>
      <x:c r="J174" s="2"/>
      <x:c r="K174" s="6" t="str">
        <x:v>Prompt design</x:v>
      </x:c>
      <x:c r="L174" s="2" t="str">
        <x:v>Role/system/persona prompting</x:v>
      </x:c>
      <x:c r="M174" s="2" t="str">
        <x:v>Role/system/persona prompting; Structured/template prompting</x:v>
      </x:c>
      <x:c r="N174" s="2" t="str">
        <x:v>Yes</x:v>
      </x:c>
      <x:c r="O174" s="2" t="str">
        <x:v>Full prompt reported</x:v>
      </x:c>
      <x:c r="P174" s="2" t="str">
        <x:v>0</x:v>
      </x:c>
      <x:c r="Q174" s="2" t="str">
        <x:v>No</x:v>
      </x:c>
      <x:c r="R174" s="2" t="str">
        <x:v>No</x:v>
      </x:c>
      <x:c r="S174" s="2" t="str">
        <x:v>No</x:v>
      </x:c>
      <x:c r="T174" s="2" t="str">
        <x:v>NA</x:v>
      </x:c>
      <x:c r="U174" s="6" t="str">
        <x:v>p. 5; Figure 5 and Section IV.D</x:v>
      </x:c>
      <x:c r="V174" s="6" t="str">
        <x:v>The system prompt for the LLM contains the general instruction, which is shown in Figure 5.</x:v>
      </x:c>
      <x:c r="W174" s="6" t="str">
        <x:v>Figure 5完整呈现了系统提示，属于全量报告。</x:v>
      </x:c>
      <x:c r="X174" s="6" t="str">
        <x:v>NA</x:v>
      </x:c>
    </x:row>
    <x:row r="175" ht="76" customHeight="1">
      <x:c r="A175" s="2" t="str">
        <x:v>S33</x:v>
      </x:c>
      <x:c r="B175" s="2" t="str">
        <x:v>S33-CF02</x:v>
      </x:c>
      <x:c r="C175" s="2" t="str">
        <x:v>S33-MU01</x:v>
      </x:c>
      <x:c r="D175" s="2" t="str">
        <x:v>S33-O01</x:v>
      </x:c>
      <x:c r="E175" s="2" t="str">
        <x:v>Output constraint</x:v>
      </x:c>
      <x:c r="F175" s="2" t="str">
        <x:v>JSON output format</x:v>
      </x:c>
      <x:c r="G175" s="2" t="str">
        <x:v>JSONOUT</x:v>
      </x:c>
      <x:c r="H175" s="6" t="str">
        <x:v>要求LLM输出结构化的JSON对象，包含分数和注释。</x:v>
      </x:c>
      <x:c r="I175" s="2" t="str">
        <x:v>Yes</x:v>
      </x:c>
      <x:c r="J175" s="2"/>
      <x:c r="K175" s="6" t="str">
        <x:v>Output specification</x:v>
      </x:c>
      <x:c r="L175" s="2" t="str">
        <x:v>Structured output format</x:v>
      </x:c>
      <x:c r="M175" s="2" t="str">
        <x:v>Structured/template prompting</x:v>
      </x:c>
      <x:c r="N175" s="2" t="str">
        <x:v>NA</x:v>
      </x:c>
      <x:c r="O175" s="2" t="str">
        <x:v>NA</x:v>
      </x:c>
      <x:c r="P175" s="2" t="str">
        <x:v>NR</x:v>
      </x:c>
      <x:c r="Q175" s="2" t="str">
        <x:v>No</x:v>
      </x:c>
      <x:c r="R175" s="2" t="str">
        <x:v>No</x:v>
      </x:c>
      <x:c r="S175" s="2" t="str">
        <x:v>No</x:v>
      </x:c>
      <x:c r="T175" s="2" t="str">
        <x:v>NA</x:v>
      </x:c>
      <x:c r="U175" s="6" t="str">
        <x:v>p. 5; Section IV.D</x:v>
      </x:c>
      <x:c r="V175" s="6" t="str">
        <x:v>Lines 7 and onward address the output structure, which must be in JSON format with specified data types.</x:v>
      </x:c>
      <x:c r="W175" s="6" t="str">
        <x:v>通过输出约束确保结果可解析，降低后处理复杂度。</x:v>
      </x:c>
      <x:c r="X175" s="6" t="str">
        <x:v>NA</x:v>
      </x:c>
    </x:row>
    <x:row r="176" ht="76" customHeight="1">
      <x:c r="A176" s="2" t="str">
        <x:v>S33</x:v>
      </x:c>
      <x:c r="B176" s="2" t="str">
        <x:v>S33-CF03</x:v>
      </x:c>
      <x:c r="C176" s="2" t="str">
        <x:v>S33-MU02</x:v>
      </x:c>
      <x:c r="D176" s="2" t="str">
        <x:v>S33-O02</x:v>
      </x:c>
      <x:c r="E176" s="2" t="str">
        <x:v>Prompting</x:v>
      </x:c>
      <x:c r="F176" s="2" t="str">
        <x:v>System prompt</x:v>
      </x:c>
      <x:c r="G176" s="2" t="str">
        <x:v>SYSPROMPT</x:v>
      </x:c>
      <x:c r="H176" s="6" t="str">
        <x:v>与M1相同的系统提示，用于评估场景。</x:v>
      </x:c>
      <x:c r="I176" s="2" t="str">
        <x:v>Yes</x:v>
      </x:c>
      <x:c r="J176" s="2"/>
      <x:c r="K176" s="6" t="str">
        <x:v>Prompt design</x:v>
      </x:c>
      <x:c r="L176" s="2" t="str">
        <x:v>Role/system/persona prompting</x:v>
      </x:c>
      <x:c r="M176" s="2" t="str">
        <x:v>Role/system/persona prompting</x:v>
      </x:c>
      <x:c r="N176" s="2" t="str">
        <x:v>Yes</x:v>
      </x:c>
      <x:c r="O176" s="2" t="str">
        <x:v>Full prompt reported</x:v>
      </x:c>
      <x:c r="P176" s="2" t="str">
        <x:v>0</x:v>
      </x:c>
      <x:c r="Q176" s="2" t="str">
        <x:v>No</x:v>
      </x:c>
      <x:c r="R176" s="2" t="str">
        <x:v>No</x:v>
      </x:c>
      <x:c r="S176" s="2" t="str">
        <x:v>No</x:v>
      </x:c>
      <x:c r="T176" s="2" t="str">
        <x:v>NA</x:v>
      </x:c>
      <x:c r="U176" s="6" t="str">
        <x:v>p. 5; Figure 5 and Section IV.D</x:v>
      </x:c>
      <x:c r="V176" s="6" t="str">
        <x:v>The system prompt for the LLM contains the general instruction, which is shown in Figure 5.</x:v>
      </x:c>
      <x:c r="W176" s="6" t="str">
        <x:v>提示复用，保持任务一致性。</x:v>
      </x:c>
      <x:c r="X176" s="6" t="str">
        <x:v>NA</x:v>
      </x:c>
    </x:row>
    <x:row r="177" ht="76" customHeight="1">
      <x:c r="A177" s="2" t="str">
        <x:v>S33</x:v>
      </x:c>
      <x:c r="B177" s="2" t="str">
        <x:v>S33-CF04</x:v>
      </x:c>
      <x:c r="C177" s="2" t="str">
        <x:v>S33-MU02</x:v>
      </x:c>
      <x:c r="D177" s="2" t="str">
        <x:v>S33-O02</x:v>
      </x:c>
      <x:c r="E177" s="2" t="str">
        <x:v>Output constraint</x:v>
      </x:c>
      <x:c r="F177" s="2" t="str">
        <x:v>Boolean JSON without comment</x:v>
      </x:c>
      <x:c r="G177" s="2" t="str">
        <x:v>BOOLJSON</x:v>
      </x:c>
      <x:c r="H177" s="6" t="str">
        <x:v>输出仅含布尔值，省略评论，以减少输出token并提高解析成功率。</x:v>
      </x:c>
      <x:c r="I177" s="2" t="str">
        <x:v>Yes</x:v>
      </x:c>
      <x:c r="J177" s="2"/>
      <x:c r="K177" s="6" t="str">
        <x:v>Output specification</x:v>
      </x:c>
      <x:c r="L177" s="2" t="str">
        <x:v>Structured output format</x:v>
      </x:c>
      <x:c r="M177" s="2" t="str">
        <x:v>Structured/template prompting</x:v>
      </x:c>
      <x:c r="N177" s="2" t="str">
        <x:v>NA</x:v>
      </x:c>
      <x:c r="O177" s="2" t="str">
        <x:v>NA</x:v>
      </x:c>
      <x:c r="P177" s="2" t="str">
        <x:v>NR</x:v>
      </x:c>
      <x:c r="Q177" s="2" t="str">
        <x:v>No</x:v>
      </x:c>
      <x:c r="R177" s="2" t="str">
        <x:v>No</x:v>
      </x:c>
      <x:c r="S177" s="2" t="str">
        <x:v>No</x:v>
      </x:c>
      <x:c r="T177" s="2" t="str">
        <x:v>NA</x:v>
      </x:c>
      <x:c r="U177" s="6" t="str">
        <x:v>p. 6; Section IV.D</x:v>
      </x:c>
      <x:c r="V177" s="6" t="str">
        <x:v>the comment was omitted and only the choice (true or false) were compared with the expected result.</x:v>
      </x:c>
      <x:c r="W177" s="6" t="str">
        <x:v>因输出令牌过多导致无效数据，故简化输出。</x:v>
      </x:c>
      <x:c r="X177" s="6" t="str">
        <x:v>NA</x:v>
      </x:c>
    </x:row>
    <x:row r="178" ht="76" customHeight="1">
      <x:c r="A178" s="2" t="str">
        <x:v>S33</x:v>
      </x:c>
      <x:c r="B178" s="2" t="str">
        <x:v>S33-CF05</x:v>
      </x:c>
      <x:c r="C178" s="2" t="str">
        <x:v>S33-MU02</x:v>
      </x:c>
      <x:c r="D178" s="2" t="str">
        <x:v>S33-O02</x:v>
      </x:c>
      <x:c r="E178" s="2" t="str">
        <x:v>Other</x:v>
      </x:c>
      <x:c r="F178" s="2" t="str">
        <x:v>Temperature minimized</x:v>
      </x:c>
      <x:c r="G178" s="2" t="str">
        <x:v>TEMP_MIN</x:v>
      </x:c>
      <x:c r="H178" s="6" t="str">
        <x:v>温度参数设为最小值以增强输出确定性。</x:v>
      </x:c>
      <x:c r="I178" s="2" t="str">
        <x:v>Yes</x:v>
      </x:c>
      <x:c r="J178" s="2"/>
      <x:c r="K178" s="6" t="str">
        <x:v>Invocation control</x:v>
      </x:c>
      <x:c r="L178" s="2" t="str">
        <x:v>Temperature control</x:v>
      </x:c>
      <x:c r="M178" s="2"/>
      <x:c r="N178" s="2" t="str">
        <x:v>NA</x:v>
      </x:c>
      <x:c r="O178" s="2" t="str">
        <x:v>NA</x:v>
      </x:c>
      <x:c r="P178" s="2" t="str">
        <x:v>NR</x:v>
      </x:c>
      <x:c r="Q178" s="2" t="str">
        <x:v>No</x:v>
      </x:c>
      <x:c r="R178" s="2" t="str">
        <x:v>No</x:v>
      </x:c>
      <x:c r="S178" s="2" t="str">
        <x:v>No</x:v>
      </x:c>
      <x:c r="T178" s="2" t="str">
        <x:v>NA</x:v>
      </x:c>
      <x:c r="U178" s="6" t="str">
        <x:v>p. 5; Section IV.C</x:v>
      </x:c>
      <x:c r="V178" s="6" t="str">
        <x:v>the temperature of the models was set to a minimum to achieve the most deterministic results.</x:v>
      </x:c>
      <x:c r="W178" s="6" t="str">
        <x:v>通过最小化温度减少随机性，使评估结果可复现。</x:v>
      </x:c>
      <x:c r="X178" s="6" t="str">
        <x:v>未给出具体数值，但‘minimum’通常理解为接近0。</x:v>
      </x:c>
    </x:row>
    <x:row r="179" ht="76" customHeight="1">
      <x:c r="A179" s="2" t="str">
        <x:v>S33</x:v>
      </x:c>
      <x:c r="B179" s="2" t="str">
        <x:v>S33-CF06</x:v>
      </x:c>
      <x:c r="C179" s="2" t="str">
        <x:v>S33-MU02</x:v>
      </x:c>
      <x:c r="D179" s="2" t="str">
        <x:v>S33-O02</x:v>
      </x:c>
      <x:c r="E179" s="2" t="str">
        <x:v>Context construction</x:v>
      </x:c>
      <x:c r="F179" s="2" t="str">
        <x:v>Pair evaluation mode</x:v>
      </x:c>
      <x:c r="G179" s="2" t="str">
        <x:v>PAIRMODE</x:v>
      </x:c>
      <x:c r="H179" s="6" t="str">
        <x:v>将多个需求与多个实现以不同方式分组为1:1、1:M、N:1、N:M对，作为单次请求的输入。</x:v>
      </x:c>
      <x:c r="I179" s="2" t="str">
        <x:v>Yes</x:v>
      </x:c>
      <x:c r="J179" s="2"/>
      <x:c r="K179" s="6" t="str">
        <x:v>Input and context construction</x:v>
      </x:c>
      <x:c r="L179" s="2" t="str">
        <x:v>Artifact packaging and scope</x:v>
      </x:c>
      <x:c r="M179" s="2"/>
      <x:c r="N179" s="2" t="str">
        <x:v>NA</x:v>
      </x:c>
      <x:c r="O179" s="2" t="str">
        <x:v>NA</x:v>
      </x:c>
      <x:c r="P179" s="2" t="str">
        <x:v>NR</x:v>
      </x:c>
      <x:c r="Q179" s="2" t="str">
        <x:v>No</x:v>
      </x:c>
      <x:c r="R179" s="2" t="str">
        <x:v>No</x:v>
      </x:c>
      <x:c r="S179" s="2" t="str">
        <x:v>No</x:v>
      </x:c>
      <x:c r="T179" s="2" t="str">
        <x:v>NA</x:v>
      </x:c>
      <x:c r="U179" s="6" t="str">
        <x:v>p. 5; Section IV.C</x:v>
      </x:c>
      <x:c r="V179" s="6" t="str">
        <x:v>Starting simple with one requirement - one implementation (1:1), there could also be pairs of one requirement - all implementations (1:M) or all requirement - one implementations (N:1). Finally, you can also create only one pair all requirement - all implementations (N:M)</x:v>
      </x:c>
      <x:c r="W179" s="6" t="str">
        <x:v>不同的配对模式直接影响LLM接收的上下文量，N:M提供最多上下文。</x:v>
      </x:c>
      <x:c r="X179" s="6" t="str">
        <x:v>NA</x:v>
      </x:c>
    </x:row>
    <x:row r="180" ht="76" customHeight="1">
      <x:c r="A180" s="2" t="str">
        <x:v>S33</x:v>
      </x:c>
      <x:c r="B180" s="2" t="str">
        <x:v>S33-CF07</x:v>
      </x:c>
      <x:c r="C180" s="2" t="str">
        <x:v>S33-MU03</x:v>
      </x:c>
      <x:c r="D180" s="2" t="str">
        <x:v>S33-O02</x:v>
      </x:c>
      <x:c r="E180" s="2" t="str">
        <x:v>Prompting</x:v>
      </x:c>
      <x:c r="F180" s="2" t="str">
        <x:v>System prompt</x:v>
      </x:c>
      <x:c r="G180" s="2" t="str">
        <x:v>SYSPROMPT</x:v>
      </x:c>
      <x:c r="H180" s="6" t="str">
        <x:v>与M1/M2相同的系统提示。</x:v>
      </x:c>
      <x:c r="I180" s="2" t="str">
        <x:v>Yes</x:v>
      </x:c>
      <x:c r="J180" s="2"/>
      <x:c r="K180" s="6" t="str">
        <x:v>Prompt design</x:v>
      </x:c>
      <x:c r="L180" s="2" t="str">
        <x:v>Role/system/persona prompting</x:v>
      </x:c>
      <x:c r="M180" s="2" t="str">
        <x:v>Role/system/persona prompting</x:v>
      </x:c>
      <x:c r="N180" s="2" t="str">
        <x:v>Yes</x:v>
      </x:c>
      <x:c r="O180" s="2" t="str">
        <x:v>Full prompt reported</x:v>
      </x:c>
      <x:c r="P180" s="2" t="str">
        <x:v>0</x:v>
      </x:c>
      <x:c r="Q180" s="2" t="str">
        <x:v>No</x:v>
      </x:c>
      <x:c r="R180" s="2" t="str">
        <x:v>No</x:v>
      </x:c>
      <x:c r="S180" s="2" t="str">
        <x:v>No</x:v>
      </x:c>
      <x:c r="T180" s="2" t="str">
        <x:v>NA</x:v>
      </x:c>
      <x:c r="U180" s="6" t="str">
        <x:v>p. 5; Figure 5 and Section IV.D</x:v>
      </x:c>
      <x:c r="V180" s="6" t="str">
        <x:v>The system prompt for the LLM contains the general instruction, which is shown in Figure 5.</x:v>
      </x:c>
      <x:c r="W180" s="6" t="str">
        <x:v>提示复用。</x:v>
      </x:c>
      <x:c r="X180" s="6" t="str">
        <x:v>NA</x:v>
      </x:c>
    </x:row>
    <x:row r="181" ht="76" customHeight="1">
      <x:c r="A181" s="2" t="str">
        <x:v>S33</x:v>
      </x:c>
      <x:c r="B181" s="2" t="str">
        <x:v>S33-CF08</x:v>
      </x:c>
      <x:c r="C181" s="2" t="str">
        <x:v>S33-MU03</x:v>
      </x:c>
      <x:c r="D181" s="2" t="str">
        <x:v>S33-O02</x:v>
      </x:c>
      <x:c r="E181" s="2" t="str">
        <x:v>Output constraint</x:v>
      </x:c>
      <x:c r="F181" s="2" t="str">
        <x:v>Boolean JSON without comment</x:v>
      </x:c>
      <x:c r="G181" s="2" t="str">
        <x:v>BOOLJSON</x:v>
      </x:c>
      <x:c r="H181" s="6" t="str">
        <x:v>仅输出布尔值。</x:v>
      </x:c>
      <x:c r="I181" s="2" t="str">
        <x:v>Yes</x:v>
      </x:c>
      <x:c r="J181" s="2"/>
      <x:c r="K181" s="6" t="str">
        <x:v>Output specification</x:v>
      </x:c>
      <x:c r="L181" s="2" t="str">
        <x:v>Structured output format</x:v>
      </x:c>
      <x:c r="M181" s="2" t="str">
        <x:v>Structured/template prompting</x:v>
      </x:c>
      <x:c r="N181" s="2" t="str">
        <x:v>NA</x:v>
      </x:c>
      <x:c r="O181" s="2" t="str">
        <x:v>NA</x:v>
      </x:c>
      <x:c r="P181" s="2" t="str">
        <x:v>NR</x:v>
      </x:c>
      <x:c r="Q181" s="2" t="str">
        <x:v>No</x:v>
      </x:c>
      <x:c r="R181" s="2" t="str">
        <x:v>No</x:v>
      </x:c>
      <x:c r="S181" s="2" t="str">
        <x:v>No</x:v>
      </x:c>
      <x:c r="T181" s="2" t="str">
        <x:v>NA</x:v>
      </x:c>
      <x:c r="U181" s="6" t="str">
        <x:v>p. 6; Section IV.D</x:v>
      </x:c>
      <x:c r="V181" s="6" t="str">
        <x:v>the comment was omitted and only the choice (true or false) were compared with the expected result.</x:v>
      </x:c>
      <x:c r="W181" s="6" t="str">
        <x:v>简化输出以提高可靠性。</x:v>
      </x:c>
      <x:c r="X181" s="6" t="str">
        <x:v>NA</x:v>
      </x:c>
    </x:row>
    <x:row r="182" ht="76" customHeight="1">
      <x:c r="A182" s="2" t="str">
        <x:v>S33</x:v>
      </x:c>
      <x:c r="B182" s="2" t="str">
        <x:v>S33-CF09</x:v>
      </x:c>
      <x:c r="C182" s="2" t="str">
        <x:v>S33-MU03</x:v>
      </x:c>
      <x:c r="D182" s="2" t="str">
        <x:v>S33-O02</x:v>
      </x:c>
      <x:c r="E182" s="2" t="str">
        <x:v>Other</x:v>
      </x:c>
      <x:c r="F182" s="2" t="str">
        <x:v>Temperature minimized</x:v>
      </x:c>
      <x:c r="G182" s="2" t="str">
        <x:v>TEMP_MIN</x:v>
      </x:c>
      <x:c r="H182" s="6" t="str">
        <x:v>温度设为最小值。</x:v>
      </x:c>
      <x:c r="I182" s="2" t="str">
        <x:v>Yes</x:v>
      </x:c>
      <x:c r="J182" s="2"/>
      <x:c r="K182" s="6" t="str">
        <x:v>Invocation control</x:v>
      </x:c>
      <x:c r="L182" s="2" t="str">
        <x:v>Temperature control</x:v>
      </x:c>
      <x:c r="M182" s="2"/>
      <x:c r="N182" s="2" t="str">
        <x:v>NA</x:v>
      </x:c>
      <x:c r="O182" s="2" t="str">
        <x:v>NA</x:v>
      </x:c>
      <x:c r="P182" s="2" t="str">
        <x:v>NR</x:v>
      </x:c>
      <x:c r="Q182" s="2" t="str">
        <x:v>No</x:v>
      </x:c>
      <x:c r="R182" s="2" t="str">
        <x:v>No</x:v>
      </x:c>
      <x:c r="S182" s="2" t="str">
        <x:v>No</x:v>
      </x:c>
      <x:c r="T182" s="2" t="str">
        <x:v>NA</x:v>
      </x:c>
      <x:c r="U182" s="6" t="str">
        <x:v>p. 5; Section IV.C</x:v>
      </x:c>
      <x:c r="V182" s="6" t="str">
        <x:v>the temperature of the models was set to a minimum to achieve the most deterministic results.</x:v>
      </x:c>
      <x:c r="W182" s="6" t="str">
        <x:v>最小化随机性。</x:v>
      </x:c>
      <x:c r="X182" s="6" t="str">
        <x:v>NA</x:v>
      </x:c>
    </x:row>
    <x:row r="183" ht="76" customHeight="1">
      <x:c r="A183" s="2" t="str">
        <x:v>S33</x:v>
      </x:c>
      <x:c r="B183" s="2" t="str">
        <x:v>S33-CF10</x:v>
      </x:c>
      <x:c r="C183" s="2" t="str">
        <x:v>S33-MU03</x:v>
      </x:c>
      <x:c r="D183" s="2" t="str">
        <x:v>S33-O02</x:v>
      </x:c>
      <x:c r="E183" s="2" t="str">
        <x:v>Context construction</x:v>
      </x:c>
      <x:c r="F183" s="2" t="str">
        <x:v>Pair evaluation mode</x:v>
      </x:c>
      <x:c r="G183" s="2" t="str">
        <x:v>PAIRMODE</x:v>
      </x:c>
      <x:c r="H183" s="6" t="str">
        <x:v>不同需求-实现分组方式。</x:v>
      </x:c>
      <x:c r="I183" s="2" t="str">
        <x:v>Yes</x:v>
      </x:c>
      <x:c r="J183" s="2"/>
      <x:c r="K183" s="6" t="str">
        <x:v>Input and context construction</x:v>
      </x:c>
      <x:c r="L183" s="2" t="str">
        <x:v>Artifact packaging and scope</x:v>
      </x:c>
      <x:c r="M183" s="2"/>
      <x:c r="N183" s="2" t="str">
        <x:v>NA</x:v>
      </x:c>
      <x:c r="O183" s="2" t="str">
        <x:v>NA</x:v>
      </x:c>
      <x:c r="P183" s="2" t="str">
        <x:v>NR</x:v>
      </x:c>
      <x:c r="Q183" s="2" t="str">
        <x:v>No</x:v>
      </x:c>
      <x:c r="R183" s="2" t="str">
        <x:v>No</x:v>
      </x:c>
      <x:c r="S183" s="2" t="str">
        <x:v>No</x:v>
      </x:c>
      <x:c r="T183" s="2" t="str">
        <x:v>NA</x:v>
      </x:c>
      <x:c r="U183" s="6" t="str">
        <x:v>p. 5; Section IV.C</x:v>
      </x:c>
      <x:c r="V183" s="6" t="str">
        <x:v>Starting simple with one requirement - one implementation (1:1), there could also be pairs of one requirement - all implementations (1:M) or all requirement - one implementations (N:1). Finally, you can also create only one pair all requirement - all implementations (N:M)</x:v>
      </x:c>
      <x:c r="W183" s="6" t="str">
        <x:v>影响输入上下文。</x:v>
      </x:c>
      <x:c r="X183" s="6" t="str">
        <x:v>NA</x:v>
      </x:c>
    </x:row>
    <x:row r="184" ht="76" customHeight="1">
      <x:c r="A184" s="2" t="str">
        <x:v>S34</x:v>
      </x:c>
      <x:c r="B184" s="2" t="str">
        <x:v>S34-CF01</x:v>
      </x:c>
      <x:c r="C184" s="2" t="str">
        <x:v>S34-MU01</x:v>
      </x:c>
      <x:c r="D184" s="2" t="str">
        <x:v>S34-O01</x:v>
      </x:c>
      <x:c r="E184" s="2" t="str">
        <x:v>Prompting</x:v>
      </x:c>
      <x:c r="F184" s="2" t="str">
        <x:v>Tripartite prompt with constraints</x:v>
      </x:c>
      <x:c r="G184" s="2" t="str">
        <x:v>tripartite_prompt</x:v>
      </x:c>
      <x:c r="H184" s="6" t="str">
        <x:v>三部分提示策略：主指令、UML类图和使用用例，并包含生成约束，如单次生成、方法原子性、仅限核心业务、命名约定、类分配规则和内联溯源注释要求。</x:v>
      </x:c>
      <x:c r="I184" s="2" t="str">
        <x:v>Yes</x:v>
      </x:c>
      <x:c r="J184" s="2"/>
      <x:c r="K184" s="6" t="str">
        <x:v>Prompt design</x:v>
      </x:c>
      <x:c r="L184" s="2" t="str">
        <x:v>Structured/template prompting</x:v>
      </x:c>
      <x:c r="M184" s="2" t="str">
        <x:v>Structured/template prompting</x:v>
      </x:c>
      <x:c r="N184" s="2" t="str">
        <x:v>Yes</x:v>
      </x:c>
      <x:c r="O184" s="2" t="str">
        <x:v>Full prompt reported</x:v>
      </x:c>
      <x:c r="P184" s="2" t="str">
        <x:v>0</x:v>
      </x:c>
      <x:c r="Q184" s="2" t="str">
        <x:v>No</x:v>
      </x:c>
      <x:c r="R184" s="2" t="str">
        <x:v>No</x:v>
      </x:c>
      <x:c r="S184" s="2" t="str">
        <x:v>No</x:v>
      </x:c>
      <x:c r="T184" s="2" t="str">
        <x:v>NA</x:v>
      </x:c>
      <x:c r="U184" s="6" t="str">
        <x:v>p. 7; Section 3.2</x:v>
      </x:c>
      <x:c r="V184" s="6" t="str">
        <x:v>a consistent three-prompt strategy was adopted.</x:v>
      </x:c>
      <x:c r="W184" s="6" t="str">
        <x:v>该研究采用了一种固定的三部分提示方法，其中包含明确的指令和约束，以引导LLM生成一致的带注释的输出。</x:v>
      </x:c>
      <x:c r="X184" s="6" t="str">
        <x:v>该提示策略统一应用于所有9个LLM。</x:v>
      </x:c>
    </x:row>
    <x:row r="185" ht="76" customHeight="1">
      <x:c r="A185" s="2" t="str">
        <x:v>S35</x:v>
      </x:c>
      <x:c r="B185" s="2" t="str">
        <x:v>S35-CF01</x:v>
      </x:c>
      <x:c r="C185" s="2" t="str">
        <x:v>S35-MU01</x:v>
      </x:c>
      <x:c r="D185" s="2" t="str">
        <x:v>S35-O01</x:v>
      </x:c>
      <x:c r="E185" s="2" t="str">
        <x:v>Prompting</x:v>
      </x:c>
      <x:c r="F185" s="2" t="str">
        <x:v>baseline</x:v>
      </x:c>
      <x:c r="G185" s="2" t="str">
        <x:v>baseline_prompt</x:v>
      </x:c>
      <x:c r="H185" s="6" t="str">
        <x:v>直接要求ChatGPT为提供的代码提供功能描述。</x:v>
      </x:c>
      <x:c r="I185" s="2" t="str">
        <x:v>Yes</x:v>
      </x:c>
      <x:c r="J185" s="2"/>
      <x:c r="K185" s="6" t="str">
        <x:v>Prompt design</x:v>
      </x:c>
      <x:c r="L185" s="2" t="str">
        <x:v>Task-specific prompting</x:v>
      </x:c>
      <x:c r="M185" s="2"/>
      <x:c r="N185" s="2" t="str">
        <x:v>Yes</x:v>
      </x:c>
      <x:c r="O185" s="2" t="str">
        <x:v>Full prompt reported</x:v>
      </x:c>
      <x:c r="P185" s="2" t="str">
        <x:v>NA</x:v>
      </x:c>
      <x:c r="Q185" s="2" t="str">
        <x:v>No</x:v>
      </x:c>
      <x:c r="R185" s="2" t="str">
        <x:v>No</x:v>
      </x:c>
      <x:c r="S185" s="2" t="str">
        <x:v>No</x:v>
      </x:c>
      <x:c r="T185" s="2" t="str">
        <x:v>NA</x:v>
      </x:c>
      <x:c r="U185" s="6" t="str">
        <x:v>p. 3; Section II</x:v>
      </x:c>
      <x:c r="V185" s="6" t="str">
        <x:v>as “baseline”, invokes ChatGPT with the request: “Can you please suggest a feature description for the above code?”</x:v>
      </x:c>
      <x:c r="W185" s="6" t="str">
        <x:v>基准提示词，简单直接地要求生成描述。</x:v>
      </x:c>
      <x:c r="X185" s="6" t="str">
        <x:v>NA</x:v>
      </x:c>
    </x:row>
    <x:row r="186" ht="76" customHeight="1">
      <x:c r="A186" s="2" t="str">
        <x:v>S35</x:v>
      </x:c>
      <x:c r="B186" s="2" t="str">
        <x:v>S35-CF02</x:v>
      </x:c>
      <x:c r="C186" s="2" t="str">
        <x:v>S35-MU01</x:v>
      </x:c>
      <x:c r="D186" s="2" t="str">
        <x:v>S35-O01</x:v>
      </x:c>
      <x:c r="E186" s="2" t="str">
        <x:v>Prompting</x:v>
      </x:c>
      <x:c r="F186" s="2" t="str">
        <x:v>pattern-enriched</x:v>
      </x:c>
      <x:c r="G186" s="2" t="str">
        <x:v>pattern_enriched_prompt</x:v>
      </x:c>
      <x:c r="H186" s="6" t="str">
        <x:v>使用White等人的提示模式，强调expect关键字作为测试预言，融入响应。</x:v>
      </x:c>
      <x:c r="I186" s="2" t="str">
        <x:v>Yes</x:v>
      </x:c>
      <x:c r="J186" s="2"/>
      <x:c r="K186" s="6" t="str">
        <x:v>Prompt design</x:v>
      </x:c>
      <x:c r="L186" s="2" t="str">
        <x:v>Task-specific prompting</x:v>
      </x:c>
      <x:c r="M186" s="2"/>
      <x:c r="N186" s="2" t="str">
        <x:v>Yes</x:v>
      </x:c>
      <x:c r="O186" s="2" t="str">
        <x:v>Full prompt reported</x:v>
      </x:c>
      <x:c r="P186" s="2" t="str">
        <x:v>NA</x:v>
      </x:c>
      <x:c r="Q186" s="2" t="str">
        <x:v>No</x:v>
      </x:c>
      <x:c r="R186" s="2" t="str">
        <x:v>No</x:v>
      </x:c>
      <x:c r="S186" s="2" t="str">
        <x:v>No</x:v>
      </x:c>
      <x:c r="T186" s="2" t="str">
        <x:v>NA</x:v>
      </x:c>
      <x:c r="U186" s="6" t="str">
        <x:v>p. 3; Section II</x:v>
      </x:c>
      <x:c r="V186" s="6" t="str">
        <x:v>complete sentence and when you see the keyword ‘expect’, it deﬁnes the test oracle. Try to incorporate the test oracle or test</x:v>
      </x:c>
      <x:c r="W186" s="6" t="str">
        <x:v>模式丰富提示词，指导LLM关注测试预言。</x:v>
      </x:c>
      <x:c r="X186" s="6" t="str">
        <x:v>NA</x:v>
      </x:c>
    </x:row>
    <x:row r="187" ht="76" customHeight="1">
      <x:c r="A187" s="2" t="str">
        <x:v>S36</x:v>
      </x:c>
      <x:c r="B187" s="2" t="str">
        <x:v>S36-CF01</x:v>
      </x:c>
      <x:c r="C187" s="2" t="str">
        <x:v>S36-MU01</x:v>
      </x:c>
      <x:c r="D187" s="2" t="str">
        <x:v>S36-O01</x:v>
      </x:c>
      <x:c r="E187" s="2" t="str">
        <x:v>Calling and orchestration</x:v>
      </x:c>
      <x:c r="F187" s="2" t="str">
        <x:v>four-stage multi-agent architecture</x:v>
      </x:c>
      <x:c r="G187" s="2" t="str">
        <x:v>multi_agent_pipeline</x:v>
      </x:c>
      <x:c r="H187" s="6" t="str">
        <x:v>Scout、Architect、Specialist和Synthesizer四阶段编排。</x:v>
      </x:c>
      <x:c r="I187" s="2" t="str">
        <x:v>No</x:v>
      </x:c>
      <x:c r="J187" s="2" t="str">
        <x:v>External workflow control or validation is analysed under RQ5 rather than as an LLM-side configuration.</x:v>
      </x:c>
      <x:c r="K187" s="6" t="str">
        <x:v>RQ5 boundary record</x:v>
      </x:c>
      <x:c r="L187" s="2" t="str">
        <x:v>External orchestration or validation</x:v>
      </x:c>
      <x:c r="M187" s="2"/>
      <x:c r="N187" s="2" t="str">
        <x:v>NR</x:v>
      </x:c>
      <x:c r="O187" s="2" t="str">
        <x:v>NA</x:v>
      </x:c>
      <x:c r="P187" s="2" t="str">
        <x:v>NA</x:v>
      </x:c>
      <x:c r="Q187" s="2" t="str">
        <x:v>No</x:v>
      </x:c>
      <x:c r="R187" s="2" t="str">
        <x:v>No</x:v>
      </x:c>
      <x:c r="S187" s="2" t="str">
        <x:v>四阶段流水线</x:v>
      </x:c>
      <x:c r="T187" s="2" t="str">
        <x:v>multi-stage; batched API calls</x:v>
      </x:c>
      <x:c r="U187" s="6" t="str">
        <x:v>p. 2; Section III.B</x:v>
      </x:c>
      <x:c r="V187" s="6" t="str">
        <x:v>The domain model generation employs a four-stage agentic architecture</x:v>
      </x:c>
      <x:c r="W187" s="6" t="str">
        <x:v>多Agent编排支撑领域模型生成。</x:v>
      </x:c>
      <x:c r="X187" s="6" t="str">
        <x:v>NR</x:v>
      </x:c>
    </x:row>
    <x:row r="188" ht="76" customHeight="1">
      <x:c r="A188" s="2" t="str">
        <x:v>S36</x:v>
      </x:c>
      <x:c r="B188" s="2" t="str">
        <x:v>S36-CF02</x:v>
      </x:c>
      <x:c r="C188" s="2" t="str">
        <x:v>S36-MU01</x:v>
      </x:c>
      <x:c r="D188" s="2" t="str">
        <x:v>S36-O01</x:v>
      </x:c>
      <x:c r="E188" s="2" t="str">
        <x:v>Output constraint</x:v>
      </x:c>
      <x:c r="F188" s="2" t="str">
        <x:v>Pydantic-enforced structured outputs</x:v>
      </x:c>
      <x:c r="G188" s="2" t="str">
        <x:v>schema_validated_output</x:v>
      </x:c>
      <x:c r="H188" s="6" t="str">
        <x:v>使用Pydantic模型约束DomainModel JSON结构。</x:v>
      </x:c>
      <x:c r="I188" s="2" t="str">
        <x:v>Yes</x:v>
      </x:c>
      <x:c r="J188" s="2"/>
      <x:c r="K188" s="6" t="str">
        <x:v>Output specification</x:v>
      </x:c>
      <x:c r="L188" s="2" t="str">
        <x:v>Structured output format</x:v>
      </x:c>
      <x:c r="M188" s="2" t="str">
        <x:v>Structured/template prompting</x:v>
      </x:c>
      <x:c r="N188" s="2" t="str">
        <x:v>NR</x:v>
      </x:c>
      <x:c r="O188" s="2" t="str">
        <x:v>NA</x:v>
      </x:c>
      <x:c r="P188" s="2" t="str">
        <x:v>NA</x:v>
      </x:c>
      <x:c r="Q188" s="2" t="str">
        <x:v>No</x:v>
      </x:c>
      <x:c r="R188" s="2" t="str">
        <x:v>No</x:v>
      </x:c>
      <x:c r="S188" s="2" t="str">
        <x:v>No</x:v>
      </x:c>
      <x:c r="T188" s="2" t="str">
        <x:v>NR</x:v>
      </x:c>
      <x:c r="U188" s="6" t="str">
        <x:v>p. 1; Contributions</x:v>
      </x:c>
      <x:c r="V188" s="6" t="str">
        <x:v>Pydantic-enforced structured outputs ensuring consistent and reliable LLM responses</x:v>
      </x:c>
      <x:c r="W188" s="6" t="str">
        <x:v>结构化输出约束降低中间表示格式不一致。</x:v>
      </x:c>
      <x:c r="X188" s="6" t="str">
        <x:v>NR</x:v>
      </x:c>
    </x:row>
    <x:row r="189" ht="76" customHeight="1">
      <x:c r="A189" s="2" t="str">
        <x:v>S36</x:v>
      </x:c>
      <x:c r="B189" s="2" t="str">
        <x:v>S36-CF03</x:v>
      </x:c>
      <x:c r="C189" s="2" t="str">
        <x:v>S36-MU02</x:v>
      </x:c>
      <x:c r="D189" s="2" t="str">
        <x:v>S36-O02</x:v>
      </x:c>
      <x:c r="E189" s="2" t="str">
        <x:v>Output constraint</x:v>
      </x:c>
      <x:c r="F189" s="2" t="str">
        <x:v>Pydantic-enforced structured outputs</x:v>
      </x:c>
      <x:c r="G189" s="2" t="str">
        <x:v>schema_validated_output</x:v>
      </x:c>
      <x:c r="H189" s="6" t="str">
        <x:v>使用Pydantic约束违规检测响应。</x:v>
      </x:c>
      <x:c r="I189" s="2" t="str">
        <x:v>Yes</x:v>
      </x:c>
      <x:c r="J189" s="2"/>
      <x:c r="K189" s="6" t="str">
        <x:v>Output specification</x:v>
      </x:c>
      <x:c r="L189" s="2" t="str">
        <x:v>Structured output format</x:v>
      </x:c>
      <x:c r="M189" s="2" t="str">
        <x:v>Structured/template prompting</x:v>
      </x:c>
      <x:c r="N189" s="2" t="str">
        <x:v>NR</x:v>
      </x:c>
      <x:c r="O189" s="2" t="str">
        <x:v>NA</x:v>
      </x:c>
      <x:c r="P189" s="2" t="str">
        <x:v>NA</x:v>
      </x:c>
      <x:c r="Q189" s="2" t="str">
        <x:v>No</x:v>
      </x:c>
      <x:c r="R189" s="2" t="str">
        <x:v>No</x:v>
      </x:c>
      <x:c r="S189" s="2" t="str">
        <x:v>No</x:v>
      </x:c>
      <x:c r="T189" s="2" t="str">
        <x:v>single API call</x:v>
      </x:c>
      <x:c r="U189" s="6" t="str">
        <x:v>p. 3; Section III.D</x:v>
      </x:c>
      <x:c r="V189" s="6" t="str">
        <x:v>to DDD principles. Responses are returned as Pydanticenforced structured outputs, as illustrated in Listing 1.</x:v>
      </x:c>
      <x:c r="W189" s="6" t="str">
        <x:v>结构化违规输出供RAG构造查询。</x:v>
      </x:c>
      <x:c r="X189" s="6" t="str">
        <x:v>NR</x:v>
      </x:c>
    </x:row>
    <x:row r="190" ht="76" customHeight="1">
      <x:c r="A190" s="2" t="str">
        <x:v>S37</x:v>
      </x:c>
      <x:c r="B190" s="2" t="str">
        <x:v>S37-CF01</x:v>
      </x:c>
      <x:c r="C190" s="2" t="str">
        <x:v>S37-MU01</x:v>
      </x:c>
      <x:c r="D190" s="2" t="str">
        <x:v>S37-O01</x:v>
      </x:c>
      <x:c r="E190" s="2" t="str">
        <x:v>Prompting</x:v>
      </x:c>
      <x:c r="F190" s="2" t="str">
        <x:v>Prompt template of input (Table 2)</x:v>
      </x:c>
      <x:c r="G190" s="2" t="str">
        <x:v>chat_prompt_T2</x:v>
      </x:c>
      <x:c r="H190" s="6" t="str">
        <x:v>为聊天模块设计的提示模板，定义了角色、目标、技能、工作流和输出格式。</x:v>
      </x:c>
      <x:c r="I190" s="2" t="str">
        <x:v>Yes</x:v>
      </x:c>
      <x:c r="J190" s="2"/>
      <x:c r="K190" s="6" t="str">
        <x:v>Prompt design</x:v>
      </x:c>
      <x:c r="L190" s="2" t="str">
        <x:v>Structured/template prompting</x:v>
      </x:c>
      <x:c r="M190" s="2" t="str">
        <x:v>Structured/template prompting</x:v>
      </x:c>
      <x:c r="N190" s="2" t="str">
        <x:v>Yes</x:v>
      </x:c>
      <x:c r="O190" s="2" t="str">
        <x:v>Template reported</x:v>
      </x:c>
      <x:c r="P190" s="2" t="str">
        <x:v>NA</x:v>
      </x:c>
      <x:c r="Q190" s="2" t="str">
        <x:v>No</x:v>
      </x:c>
      <x:c r="R190" s="2" t="str">
        <x:v>No</x:v>
      </x:c>
      <x:c r="S190" s="2" t="str">
        <x:v>No</x:v>
      </x:c>
      <x:c r="T190" s="2" t="str">
        <x:v>NR</x:v>
      </x:c>
      <x:c r="U190" s="6" t="str">
        <x:v>p. 12; Section 4.1</x:v>
      </x:c>
      <x:c r="V190" s="6" t="str">
        <x:v>mediated by prompt input in Table 2</x:v>
      </x:c>
      <x:c r="W190" s="6" t="str">
        <x:v>使用模板化提示引导LLM与用户对话并提取信息，未使用少样本示例。</x:v>
      </x:c>
      <x:c r="X190" s="6" t="str">
        <x:v>NA</x:v>
      </x:c>
    </x:row>
    <x:row r="191" ht="76" customHeight="1">
      <x:c r="A191" s="2" t="str">
        <x:v>S37</x:v>
      </x:c>
      <x:c r="B191" s="2" t="str">
        <x:v>S37-CF02</x:v>
      </x:c>
      <x:c r="C191" s="2" t="str">
        <x:v>S37-MU02</x:v>
      </x:c>
      <x:c r="D191" s="2" t="str">
        <x:v>S37-O02</x:v>
      </x:c>
      <x:c r="E191" s="2" t="str">
        <x:v>Prompting</x:v>
      </x:c>
      <x:c r="F191" s="2" t="str">
        <x:v>Zero-shot and few-shot Chain-of-Thought prompt decomposition</x:v>
      </x:c>
      <x:c r="G191" s="2" t="str">
        <x:v>CoT_prompt_T4</x:v>
      </x:c>
      <x:c r="H191" s="6" t="str">
        <x:v>使用零样本和少样本思维链提示，通过分解提示（表4）生成PFM模型。</x:v>
      </x:c>
      <x:c r="I191" s="2" t="str">
        <x:v>Yes</x:v>
      </x:c>
      <x:c r="J191" s="2"/>
      <x:c r="K191" s="6" t="str">
        <x:v>Prompt design</x:v>
      </x:c>
      <x:c r="L191" s="2" t="str">
        <x:v>Few-shot/in-context examples</x:v>
      </x:c>
      <x:c r="M191" s="2" t="str">
        <x:v>Few-shot/in-context examples; Reasoning elicitation; Retrieved context; Zero-shot prompting</x:v>
      </x:c>
      <x:c r="N191" s="2" t="str">
        <x:v>Yes</x:v>
      </x:c>
      <x:c r="O191" s="2" t="str">
        <x:v>Template reported</x:v>
      </x:c>
      <x:c r="P191" s="2" t="str">
        <x:v>Unclear</x:v>
      </x:c>
      <x:c r="Q191" s="2" t="str">
        <x:v>NA</x:v>
      </x:c>
      <x:c r="R191" s="2" t="str">
        <x:v>No</x:v>
      </x:c>
      <x:c r="S191" s="2" t="str">
        <x:v>No</x:v>
      </x:c>
      <x:c r="T191" s="2" t="str">
        <x:v>NR</x:v>
      </x:c>
      <x:c r="U191" s="6" t="str">
        <x:v>p. 12; Section 4.1</x:v>
      </x:c>
      <x:c r="V191" s="6" t="str">
        <x:v>the reasoning module leveraging the generation ability of zero-shot and few-shot Chain-of-Thought (CoT) of LLMs, accomplished through the prompt decomposition shown in Table 4.</x:v>
      </x:c>
      <x:c r="W191" s="6" t="str">
        <x:v>CoT提示增强推理能力，具体少量样本数量未明确。</x:v>
      </x:c>
      <x:c r="X191" s="6" t="str">
        <x:v>few_shot_count是否为少量未明确说明</x:v>
      </x:c>
    </x:row>
    <x:row r="192" ht="76" customHeight="1">
      <x:c r="A192" s="2" t="str">
        <x:v>S37</x:v>
      </x:c>
      <x:c r="B192" s="2" t="str">
        <x:v>S37-CF03</x:v>
      </x:c>
      <x:c r="C192" s="2" t="str">
        <x:v>S37-MU02</x:v>
      </x:c>
      <x:c r="D192" s="2" t="str">
        <x:v>S37-O02</x:v>
      </x:c>
      <x:c r="E192" s="2" t="str">
        <x:v>Context construction</x:v>
      </x:c>
      <x:c r="F192" s="2" t="str">
        <x:v>Retrieve-and-reason loop with external repository</x:v>
      </x:c>
      <x:c r="G192" s="2" t="str">
        <x:v>RAG_BM25_web</x:v>
      </x:c>
      <x:c r="H192" s="6" t="str">
        <x:v>通过检索相关段落（BM25、网络搜索）构建上下文，结合推理循环生成模型。</x:v>
      </x:c>
      <x:c r="I192" s="2" t="str">
        <x:v>Yes</x:v>
      </x:c>
      <x:c r="J192" s="2"/>
      <x:c r="K192" s="6" t="str">
        <x:v>Input and context construction</x:v>
      </x:c>
      <x:c r="L192" s="2" t="str">
        <x:v>Retrieved context</x:v>
      </x:c>
      <x:c r="M192" s="2" t="str">
        <x:v>Retrieved context</x:v>
      </x:c>
      <x:c r="N192" s="2" t="str">
        <x:v>NA</x:v>
      </x:c>
      <x:c r="O192" s="2" t="str">
        <x:v>NA</x:v>
      </x:c>
      <x:c r="P192" s="2" t="str">
        <x:v>NA</x:v>
      </x:c>
      <x:c r="Q192" s="2" t="str">
        <x:v>Yes</x:v>
      </x:c>
      <x:c r="R192" s="2" t="str">
        <x:v>No</x:v>
      </x:c>
      <x:c r="S192" s="2" t="str">
        <x:v>No</x:v>
      </x:c>
      <x:c r="T192" s="2" t="str">
        <x:v>NR</x:v>
      </x:c>
      <x:c r="U192" s="6" t="str">
        <x:v>p. 13; Table 4, Workflow</x:v>
      </x:c>
      <x:c r="V192" s="6" t="str">
        <x:v>First, you need to search for the top 15 paragraphs most closely related to &lt;RD&gt; through an applicable retrieval strategy.</x:v>
      </x:c>
      <x:c r="W192" s="6" t="str">
        <x:v>使用检索增强生成，检索前15个最相关段落作为上下文。</x:v>
      </x:c>
      <x:c r="X192" s="6" t="str">
        <x:v>还包括网络搜索功能，但未在模板中详细描述</x:v>
      </x:c>
    </x:row>
    <x:row r="193" ht="76" customHeight="1">
      <x:c r="A193" s="2" t="str">
        <x:v>S37</x:v>
      </x:c>
      <x:c r="B193" s="2" t="str">
        <x:v>S37-CF04</x:v>
      </x:c>
      <x:c r="C193" s="2" t="str">
        <x:v>S37-MU03</x:v>
      </x:c>
      <x:c r="D193" s="2" t="str">
        <x:v>S37-O03</x:v>
      </x:c>
      <x:c r="E193" s="2" t="str">
        <x:v>Prompting</x:v>
      </x:c>
      <x:c r="F193" s="2" t="str">
        <x:v>Output prompt template for model trimmer (Table 3)</x:v>
      </x:c>
      <x:c r="G193" s="2" t="str">
        <x:v>trim_prompt_T3</x:v>
      </x:c>
      <x:c r="H193" s="6" t="str">
        <x:v>用于模型修整器的提示模板，包含验证规则和输出格式。</x:v>
      </x:c>
      <x:c r="I193" s="2" t="str">
        <x:v>Yes</x:v>
      </x:c>
      <x:c r="J193" s="2"/>
      <x:c r="K193" s="6" t="str">
        <x:v>Prompt design</x:v>
      </x:c>
      <x:c r="L193" s="2" t="str">
        <x:v>Structured/template prompting</x:v>
      </x:c>
      <x:c r="M193" s="2" t="str">
        <x:v>Structured/template prompting</x:v>
      </x:c>
      <x:c r="N193" s="2" t="str">
        <x:v>Yes</x:v>
      </x:c>
      <x:c r="O193" s="2" t="str">
        <x:v>Template reported</x:v>
      </x:c>
      <x:c r="P193" s="2" t="str">
        <x:v>NA</x:v>
      </x:c>
      <x:c r="Q193" s="2" t="str">
        <x:v>No</x:v>
      </x:c>
      <x:c r="R193" s="2" t="str">
        <x:v>No</x:v>
      </x:c>
      <x:c r="S193" s="2" t="str">
        <x:v>No</x:v>
      </x:c>
      <x:c r="T193" s="2" t="str">
        <x:v>NR</x:v>
      </x:c>
      <x:c r="U193" s="6" t="str">
        <x:v>p. 13; Table 3, Workflow</x:v>
      </x:c>
      <x:c r="V193" s="6" t="str">
        <x:v>Third, check the linked fPRh , fRhS , fShV amount, to ensure their numbers conform to the three proportions</x:v>
      </x:c>
      <x:c r="W193" s="6" t="str">
        <x:v>提示中嵌入了验证规则，指导LLM检查模型元素比例。</x:v>
      </x:c>
      <x:c r="X193" s="6" t="str">
        <x:v>NA</x:v>
      </x:c>
    </x:row>
    <x:row r="194" ht="76" customHeight="1">
      <x:c r="A194" s="2" t="str">
        <x:v>S38</x:v>
      </x:c>
      <x:c r="B194" s="2" t="str">
        <x:v>S38-CF01</x:v>
      </x:c>
      <x:c r="C194" s="2" t="str">
        <x:v>S38-MU01</x:v>
      </x:c>
      <x:c r="D194" s="2" t="str">
        <x:v>S38-O01</x:v>
      </x:c>
      <x:c r="E194" s="2" t="str">
        <x:v>Prompting</x:v>
      </x:c>
      <x:c r="F194" s="2" t="str">
        <x:v>Prompt Template of Requirements Traceability Generation</x:v>
      </x:c>
      <x:c r="G194" s="2" t="str">
        <x:v>F1</x:v>
      </x:c>
      <x:c r="H194" s="6" t="str">
        <x:v>包含角色分配、DO-178C领域知识、任务定义、结构化输入和单样本示例的领域特定提示。</x:v>
      </x:c>
      <x:c r="I194" s="2" t="str">
        <x:v>Yes</x:v>
      </x:c>
      <x:c r="J194" s="2"/>
      <x:c r="K194" s="6" t="str">
        <x:v>Prompt design</x:v>
      </x:c>
      <x:c r="L194" s="2" t="str">
        <x:v>Few-shot/in-context examples</x:v>
      </x:c>
      <x:c r="M194" s="2" t="str">
        <x:v>Few-shot/in-context examples; Role/system/persona prompting; Structured/template prompting</x:v>
      </x:c>
      <x:c r="N194" s="2" t="str">
        <x:v>Yes</x:v>
      </x:c>
      <x:c r="O194" s="2" t="str">
        <x:v>Partial description</x:v>
      </x:c>
      <x:c r="P194" s="2" t="str">
        <x:v>1</x:v>
      </x:c>
      <x:c r="Q194" s="2" t="str">
        <x:v>No</x:v>
      </x:c>
      <x:c r="R194" s="2" t="str">
        <x:v>No</x:v>
      </x:c>
      <x:c r="S194" s="2" t="str">
        <x:v>No</x:v>
      </x:c>
      <x:c r="T194" s="2" t="str">
        <x:v>Single LLM call</x:v>
      </x:c>
      <x:c r="U194" s="6" t="str">
        <x:v>p. 11; Section 3.4</x:v>
      </x:c>
      <x:c r="V194" s="6" t="str">
        <x:v>As shown in Figure 8, our domain-specific prompt includes five components: (1) Role assignment as a senior software engineer; (2) DO-178C-based domain knowledge (e.g., completeness, bidirectionality); (3) Clear task definition; (4) Structured input with requirements and Lustre model; and (5) A one-shot example.</x:v>
      </x:c>
      <x:c r="W194" s="6" t="str">
        <x:v>通过结构化提示引导LLM生成追溯矩阵。</x:v>
      </x:c>
      <x:c r="X194" s="6" t="str">
        <x:v>NA</x:v>
      </x:c>
    </x:row>
    <x:row r="195" ht="76" customHeight="1">
      <x:c r="A195" s="2" t="str">
        <x:v>S38</x:v>
      </x:c>
      <x:c r="B195" s="2" t="str">
        <x:v>S38-CF02</x:v>
      </x:c>
      <x:c r="C195" s="2" t="str">
        <x:v>S38-MU01</x:v>
      </x:c>
      <x:c r="D195" s="2" t="str">
        <x:v>S38-O01</x:v>
      </x:c>
      <x:c r="E195" s="2" t="str">
        <x:v>Context construction</x:v>
      </x:c>
      <x:c r="F195" s="2" t="str">
        <x:v>ID assignment for structured input</x:v>
      </x:c>
      <x:c r="G195" s="2" t="str">
        <x:v>F2</x:v>
      </x:c>
      <x:c r="H195" s="6" t="str">
        <x:v>为需求和Lustre模型的每一行分配唯一ID，以构建结构化输入。</x:v>
      </x:c>
      <x:c r="I195" s="2" t="str">
        <x:v>Yes</x:v>
      </x:c>
      <x:c r="J195" s="2"/>
      <x:c r="K195" s="6" t="str">
        <x:v>Input and context construction</x:v>
      </x:c>
      <x:c r="L195" s="2" t="str">
        <x:v>Artifact packaging and scope</x:v>
      </x:c>
      <x:c r="M195" s="2" t="str">
        <x:v>Structured/template prompting</x:v>
      </x:c>
      <x:c r="N195" s="2" t="str">
        <x:v>NA</x:v>
      </x:c>
      <x:c r="O195" s="2" t="str">
        <x:v>NA</x:v>
      </x:c>
      <x:c r="P195" s="2" t="str">
        <x:v>NA</x:v>
      </x:c>
      <x:c r="Q195" s="2" t="str">
        <x:v>NA</x:v>
      </x:c>
      <x:c r="R195" s="2" t="str">
        <x:v>NA</x:v>
      </x:c>
      <x:c r="S195" s="2" t="str">
        <x:v>NA</x:v>
      </x:c>
      <x:c r="T195" s="2" t="str">
        <x:v>NA</x:v>
      </x:c>
      <x:c r="U195" s="6" t="str">
        <x:v>p. 11; Section 3.4</x:v>
      </x:c>
      <x:c r="V195" s="6" t="str">
        <x:v>we assign unique IDs to each requirement and line of Lustre model—essential for correct mapping</x:v>
      </x:c>
      <x:c r="W195" s="6" t="str">
        <x:v>通过分配唯一ID结构化输入数据，辅助LLM生成准确映射。</x:v>
      </x:c>
      <x:c r="X195" s="6" t="str">
        <x:v>NA</x:v>
      </x:c>
    </x:row>
    <x:row r="196" ht="76" customHeight="1">
      <x:c r="A196" s="2" t="str">
        <x:v>S39</x:v>
      </x:c>
      <x:c r="B196" s="2" t="str">
        <x:v>S39-CF01</x:v>
      </x:c>
      <x:c r="C196" s="2" t="str">
        <x:v>S39-MU01</x:v>
      </x:c>
      <x:c r="D196" s="2" t="str">
        <x:v>S39-O01</x:v>
      </x:c>
      <x:c r="E196" s="2" t="str">
        <x:v>Prompting</x:v>
      </x:c>
      <x:c r="F196" s="2" t="str">
        <x:v>prompt</x:v>
      </x:c>
      <x:c r="G196" s="2" t="str">
        <x:v>basic-prompting</x:v>
      </x:c>
      <x:c r="H196" s="6" t="str">
        <x:v>使用需求文本作为提示，让LLM执行追踪任务</x:v>
      </x:c>
      <x:c r="I196" s="2" t="str">
        <x:v>Yes</x:v>
      </x:c>
      <x:c r="J196" s="2"/>
      <x:c r="K196" s="6" t="str">
        <x:v>Prompt design</x:v>
      </x:c>
      <x:c r="L196" s="2" t="str">
        <x:v>Task-specific prompting</x:v>
      </x:c>
      <x:c r="M196" s="2"/>
      <x:c r="N196" s="2" t="str">
        <x:v>No</x:v>
      </x:c>
      <x:c r="O196" s="2" t="str">
        <x:v>Not reported</x:v>
      </x:c>
      <x:c r="P196" s="2" t="str">
        <x:v>NR</x:v>
      </x:c>
      <x:c r="Q196" s="2" t="str">
        <x:v>No</x:v>
      </x:c>
      <x:c r="R196" s="2" t="str">
        <x:v>No</x:v>
      </x:c>
      <x:c r="S196" s="2" t="str">
        <x:v>No</x:v>
      </x:c>
      <x:c r="T196" s="2" t="str">
        <x:v>NR</x:v>
      </x:c>
      <x:c r="U196" s="6" t="str">
        <x:v>p. 2; Section IV-A</x:v>
      </x:c>
      <x:c r="V196" s="6" t="str">
        <x:v>Each variant is used to prompt an LLM to perform a specific SE task</x:v>
      </x:c>
      <x:c r="W196" s="6" t="str">
        <x:v>论文未透露任何提示词内容，仅提及使用提示方式调用LLM。</x:v>
      </x:c>
      <x:c r="X196" s="6" t="str">
        <x:v>NR</x:v>
      </x:c>
    </x:row>
    <x:row r="197" ht="76" customHeight="1">
      <x:c r="A197" s="2" t="str">
        <x:v>S40</x:v>
      </x:c>
      <x:c r="B197" s="2" t="str">
        <x:v>S40-CF01</x:v>
      </x:c>
      <x:c r="C197" s="2" t="str">
        <x:v>S40-MU01</x:v>
      </x:c>
      <x:c r="D197" s="2" t="str">
        <x:v>S40-O01</x:v>
      </x:c>
      <x:c r="E197" s="2" t="str">
        <x:v>Prompting</x:v>
      </x:c>
      <x:c r="F197" s="2" t="str">
        <x:v>structural validation prompt template with evidence paths</x:v>
      </x:c>
      <x:c r="G197" s="2" t="str">
        <x:v>prompt_with_evidence_paths</x:v>
      </x:c>
      <x:c r="H197" s="6" t="str">
        <x:v>使用包含需求文本、候选代码和最高排名的结构化证据路径的固定模板，要求LLM逐步推理并输出yes/no</x:v>
      </x:c>
      <x:c r="I197" s="2" t="str">
        <x:v>Yes</x:v>
      </x:c>
      <x:c r="J197" s="2"/>
      <x:c r="K197" s="6" t="str">
        <x:v>Prompt design</x:v>
      </x:c>
      <x:c r="L197" s="2" t="str">
        <x:v>Structured/template prompting</x:v>
      </x:c>
      <x:c r="M197" s="2" t="str">
        <x:v>Structured/template prompting</x:v>
      </x:c>
      <x:c r="N197" s="2" t="str">
        <x:v>Yes</x:v>
      </x:c>
      <x:c r="O197" s="2" t="str">
        <x:v>Template reported</x:v>
      </x:c>
      <x:c r="P197" s="2" t="str">
        <x:v>0</x:v>
      </x:c>
      <x:c r="Q197" s="2" t="str">
        <x:v>No</x:v>
      </x:c>
      <x:c r="R197" s="2" t="str">
        <x:v>No</x:v>
      </x:c>
      <x:c r="S197" s="2" t="str">
        <x:v>No</x:v>
      </x:c>
      <x:c r="T197" s="2" t="str">
        <x:v>NR</x:v>
      </x:c>
      <x:c r="U197" s="6" t="str">
        <x:v>p. 11; Section 3.3 (Figure 2)</x:v>
      </x:c>
      <x:c r="V197" s="6" t="str">
        <x:v>Figure 2 shows the fixed structural validation template used for all validator calls in the main DSDR pipeline.</x:v>
      </x:c>
      <x:c r="W197" s="6" t="str">
        <x:v>提示模板包含需求文本、代码和证据路径，结构如图2所示。</x:v>
      </x:c>
      <x:c r="X197" s="6" t="str">
        <x:v>NR</x:v>
      </x:c>
    </x:row>
    <x:row r="198" ht="76" customHeight="1">
      <x:c r="A198" s="2" t="str">
        <x:v>S40</x:v>
      </x:c>
      <x:c r="B198" s="2" t="str">
        <x:v>S40-CF02</x:v>
      </x:c>
      <x:c r="C198" s="2" t="str">
        <x:v>S40-MU02</x:v>
      </x:c>
      <x:c r="D198" s="2" t="str">
        <x:v>S40-O01</x:v>
      </x:c>
      <x:c r="E198" s="2" t="str">
        <x:v>Prompting</x:v>
      </x:c>
      <x:c r="F198" s="2" t="str">
        <x:v>structural validation prompt template with evidence paths</x:v>
      </x:c>
      <x:c r="G198" s="2" t="str">
        <x:v>prompt_with_evidence_paths</x:v>
      </x:c>
      <x:c r="H198" s="6" t="str">
        <x:v>与M1相同的路径提示模板</x:v>
      </x:c>
      <x:c r="I198" s="2" t="str">
        <x:v>Yes</x:v>
      </x:c>
      <x:c r="J198" s="2"/>
      <x:c r="K198" s="6" t="str">
        <x:v>Prompt design</x:v>
      </x:c>
      <x:c r="L198" s="2" t="str">
        <x:v>Structured/template prompting</x:v>
      </x:c>
      <x:c r="M198" s="2" t="str">
        <x:v>Structured/template prompting</x:v>
      </x:c>
      <x:c r="N198" s="2" t="str">
        <x:v>Yes</x:v>
      </x:c>
      <x:c r="O198" s="2" t="str">
        <x:v>Template reported</x:v>
      </x:c>
      <x:c r="P198" s="2" t="str">
        <x:v>0</x:v>
      </x:c>
      <x:c r="Q198" s="2" t="str">
        <x:v>No</x:v>
      </x:c>
      <x:c r="R198" s="2" t="str">
        <x:v>No</x:v>
      </x:c>
      <x:c r="S198" s="2" t="str">
        <x:v>No</x:v>
      </x:c>
      <x:c r="T198" s="2" t="str">
        <x:v>NR</x:v>
      </x:c>
      <x:c r="U198" s="6" t="str">
        <x:v>p. 11; Section 3.3</x:v>
      </x:c>
      <x:c r="V198" s="6" t="str">
        <x:v>Figure 2 shows the fixed structural validation template used for all validator calls in the main DSDR pipeline.</x:v>
      </x:c>
      <x:c r="W198" s="6" t="str">
        <x:v>GPT-4o-mini路径提示变体使用相同的提示模板。</x:v>
      </x:c>
      <x:c r="X198" s="6" t="str">
        <x:v>NR</x:v>
      </x:c>
    </x:row>
    <x:row r="199" ht="76" customHeight="1">
      <x:c r="A199" s="2" t="str">
        <x:v>S40</x:v>
      </x:c>
      <x:c r="B199" s="2" t="str">
        <x:v>S40-CF03</x:v>
      </x:c>
      <x:c r="C199" s="2" t="str">
        <x:v>S40-MU03</x:v>
      </x:c>
      <x:c r="D199" s="2" t="str">
        <x:v>S40-O01</x:v>
      </x:c>
      <x:c r="E199" s="2" t="str">
        <x:v>Prompting</x:v>
      </x:c>
      <x:c r="F199" s="2" t="str">
        <x:v>simple prompt without evidence paths</x:v>
      </x:c>
      <x:c r="G199" s="2" t="str">
        <x:v>prompt_without_evidence_paths</x:v>
      </x:c>
      <x:c r="H199" s="6" t="str">
        <x:v>移除证据路径字段的简化提示，仅提供需求文本和候选代码，要求LLM输出yes/no</x:v>
      </x:c>
      <x:c r="I199" s="2" t="str">
        <x:v>Yes</x:v>
      </x:c>
      <x:c r="J199" s="2"/>
      <x:c r="K199" s="6" t="str">
        <x:v>Prompt design</x:v>
      </x:c>
      <x:c r="L199" s="2" t="str">
        <x:v>Task-specific prompting</x:v>
      </x:c>
      <x:c r="M199" s="2" t="str">
        <x:v>Retrieved context</x:v>
      </x:c>
      <x:c r="N199" s="2" t="str">
        <x:v>Yes</x:v>
      </x:c>
      <x:c r="O199" s="2" t="str">
        <x:v>Template reported</x:v>
      </x:c>
      <x:c r="P199" s="2" t="str">
        <x:v>0</x:v>
      </x:c>
      <x:c r="Q199" s="2" t="str">
        <x:v>No</x:v>
      </x:c>
      <x:c r="R199" s="2" t="str">
        <x:v>No</x:v>
      </x:c>
      <x:c r="S199" s="2" t="str">
        <x:v>No</x:v>
      </x:c>
      <x:c r="T199" s="2" t="str">
        <x:v>NR</x:v>
      </x:c>
      <x:c r="U199" s="6" t="str">
        <x:v>p. 14; Section 3.4.3</x:v>
      </x:c>
      <x:c r="V199" s="6" t="str">
        <x:v>a GPT-4o-mini simple-prompt variant that uses the same retrieved Top-20 candidates but omits the evidence-path field from the validator prompt</x:v>
      </x:c>
      <x:c r="W199" s="6" t="str">
        <x:v>简单提示变体不包含证据路径，作为消融对比。</x:v>
      </x:c>
      <x:c r="X199" s="6" t="str">
        <x:v>NR</x:v>
      </x:c>
    </x:row>
    <x:row r="200" ht="76" customHeight="1">
      <x:c r="A200" s="2" t="str">
        <x:v>S41</x:v>
      </x:c>
      <x:c r="B200" s="2" t="str">
        <x:v>S41-CF01</x:v>
      </x:c>
      <x:c r="C200" s="2" t="str">
        <x:v>S41-MU02</x:v>
      </x:c>
      <x:c r="D200" s="2" t="str">
        <x:v>S41-O01</x:v>
      </x:c>
      <x:c r="E200" s="2" t="str">
        <x:v>Prompting</x:v>
      </x:c>
      <x:c r="F200" s="2" t="str">
        <x:v>Prompt Generation for Semantic Summarization</x:v>
      </x:c>
      <x:c r="G200" s="2" t="str">
        <x:v>zero-shot-summarization-prompt</x:v>
      </x:c>
      <x:c r="H200" s="6" t="str">
        <x:v>LLM通过包含系统指令和任务定义的提示，对问题/提交文本进行摘要生成，输出限制在35-45词。</x:v>
      </x:c>
      <x:c r="I200" s="2" t="str">
        <x:v>Yes</x:v>
      </x:c>
      <x:c r="J200" s="2"/>
      <x:c r="K200" s="6" t="str">
        <x:v>Prompt design</x:v>
      </x:c>
      <x:c r="L200" s="2" t="str">
        <x:v>Few-shot/in-context examples</x:v>
      </x:c>
      <x:c r="M200" s="2" t="str">
        <x:v>Few-shot/in-context examples; Zero-shot prompting</x:v>
      </x:c>
      <x:c r="N200" s="2" t="str">
        <x:v>Yes</x:v>
      </x:c>
      <x:c r="O200" s="2" t="str">
        <x:v>Full prompt reported</x:v>
      </x:c>
      <x:c r="P200" s="2" t="str">
        <x:v>0</x:v>
      </x:c>
      <x:c r="Q200" s="2" t="str">
        <x:v>No</x:v>
      </x:c>
      <x:c r="R200" s="2" t="str">
        <x:v>No</x:v>
      </x:c>
      <x:c r="S200" s="2" t="str">
        <x:v>No</x:v>
      </x:c>
      <x:c r="T200" s="2" t="str">
        <x:v>NR</x:v>
      </x:c>
      <x:c r="U200" s="6" t="str">
        <x:v>p. 7; Figure 4</x:v>
      </x:c>
      <x:c r="V200" s="6" t="str">
        <x:v>Figure 4: The Prompt for Semantic Summarization.</x:v>
      </x:c>
      <x:c r="W200" s="6" t="str">
        <x:v>语义摘要模块采用零样本提示，提供明确的系统角色和任务描述，约束输出为35-45词的摘要。</x:v>
      </x:c>
      <x:c r="X200" s="6" t="str">
        <x:v>NA</x:v>
      </x:c>
    </x:row>
    <x:row r="201" ht="76" customHeight="1">
      <x:c r="A201" s="2" t="str">
        <x:v>S41</x:v>
      </x:c>
      <x:c r="B201" s="2" t="str">
        <x:v>S41-CF02</x:v>
      </x:c>
      <x:c r="C201" s="2" t="str">
        <x:v>S41-MU02</x:v>
      </x:c>
      <x:c r="D201" s="2" t="str">
        <x:v>S41-O02</x:v>
      </x:c>
      <x:c r="E201" s="2" t="str">
        <x:v>Prompting</x:v>
      </x:c>
      <x:c r="F201" s="2" t="str">
        <x:v>Prompt Generation for Semantic Re-ranking</x:v>
      </x:c>
      <x:c r="G201" s="2" t="str">
        <x:v>zero-shot-re-ranking-prompt</x:v>
      </x:c>
      <x:c r="H201" s="6" t="str">
        <x:v>LLM被提示分析问题与候选提交的相关性，返回排序后的提交ID列表。</x:v>
      </x:c>
      <x:c r="I201" s="2" t="str">
        <x:v>Yes</x:v>
      </x:c>
      <x:c r="J201" s="2"/>
      <x:c r="K201" s="6" t="str">
        <x:v>Prompt design</x:v>
      </x:c>
      <x:c r="L201" s="2" t="str">
        <x:v>Few-shot/in-context examples</x:v>
      </x:c>
      <x:c r="M201" s="2" t="str">
        <x:v>Few-shot/in-context examples; Zero-shot prompting</x:v>
      </x:c>
      <x:c r="N201" s="2" t="str">
        <x:v>Yes</x:v>
      </x:c>
      <x:c r="O201" s="2" t="str">
        <x:v>Full prompt reported</x:v>
      </x:c>
      <x:c r="P201" s="2" t="str">
        <x:v>0</x:v>
      </x:c>
      <x:c r="Q201" s="2" t="str">
        <x:v>No</x:v>
      </x:c>
      <x:c r="R201" s="2" t="str">
        <x:v>No</x:v>
      </x:c>
      <x:c r="S201" s="2" t="str">
        <x:v>No</x:v>
      </x:c>
      <x:c r="T201" s="2" t="str">
        <x:v>NR</x:v>
      </x:c>
      <x:c r="U201" s="6" t="str">
        <x:v>p. 8; Figure 6</x:v>
      </x:c>
      <x:c r="V201" s="6" t="str">
        <x:v>Figure 6: The Prompt for Semantic Re-ranking.</x:v>
      </x:c>
      <x:c r="W201" s="6" t="str">
        <x:v>语义重排序模块采用零样本提示，要求LLM综合分析并输出排序列表。</x:v>
      </x:c>
      <x:c r="X201" s="6" t="str">
        <x:v>NA</x:v>
      </x:c>
    </x:row>
    <x:row r="202" ht="76" customHeight="1">
      <x:c r="A202" s="2" t="str">
        <x:v>S41</x:v>
      </x:c>
      <x:c r="B202" s="2" t="str">
        <x:v>S41-CF03</x:v>
      </x:c>
      <x:c r="C202" s="2" t="str">
        <x:v>S41-MU04</x:v>
      </x:c>
      <x:c r="D202" s="2" t="str">
        <x:v>S41-O01</x:v>
      </x:c>
      <x:c r="E202" s="2" t="str">
        <x:v>Prompting</x:v>
      </x:c>
      <x:c r="F202" s="2" t="str">
        <x:v>Prompt Generation for Semantic Summarization</x:v>
      </x:c>
      <x:c r="G202" s="2" t="str">
        <x:v>zero-shot-summarization-prompt-chatgpt</x:v>
      </x:c>
      <x:c r="H202" s="6" t="str">
        <x:v>与F1相同，ChatGPT-4o-mini使用相同的摘要提示。</x:v>
      </x:c>
      <x:c r="I202" s="2" t="str">
        <x:v>Yes</x:v>
      </x:c>
      <x:c r="J202" s="2"/>
      <x:c r="K202" s="6" t="str">
        <x:v>Prompt design</x:v>
      </x:c>
      <x:c r="L202" s="2" t="str">
        <x:v>Few-shot/in-context examples</x:v>
      </x:c>
      <x:c r="M202" s="2" t="str">
        <x:v>Few-shot/in-context examples; Zero-shot prompting</x:v>
      </x:c>
      <x:c r="N202" s="2" t="str">
        <x:v>Yes</x:v>
      </x:c>
      <x:c r="O202" s="2" t="str">
        <x:v>Full prompt reported</x:v>
      </x:c>
      <x:c r="P202" s="2" t="str">
        <x:v>0</x:v>
      </x:c>
      <x:c r="Q202" s="2" t="str">
        <x:v>No</x:v>
      </x:c>
      <x:c r="R202" s="2" t="str">
        <x:v>No</x:v>
      </x:c>
      <x:c r="S202" s="2" t="str">
        <x:v>No</x:v>
      </x:c>
      <x:c r="T202" s="2" t="str">
        <x:v>NR</x:v>
      </x:c>
      <x:c r="U202" s="6" t="str">
        <x:v>p. 7; Figure 4</x:v>
      </x:c>
      <x:c r="V202" s="6" t="str">
        <x:v>Figure 4: The Prompt for Semantic Summarization.</x:v>
      </x:c>
      <x:c r="W202" s="6" t="str">
        <x:v>ChatGPT-4o-mini在语义摘要模块采用相同的零样本提示。</x:v>
      </x:c>
      <x:c r="X202" s="6" t="str">
        <x:v>NA</x:v>
      </x:c>
    </x:row>
    <x:row r="203" ht="76" customHeight="1">
      <x:c r="A203" s="2" t="str">
        <x:v>S41</x:v>
      </x:c>
      <x:c r="B203" s="2" t="str">
        <x:v>S41-CF04</x:v>
      </x:c>
      <x:c r="C203" s="2" t="str">
        <x:v>S41-MU04</x:v>
      </x:c>
      <x:c r="D203" s="2" t="str">
        <x:v>S41-O02</x:v>
      </x:c>
      <x:c r="E203" s="2" t="str">
        <x:v>Prompting</x:v>
      </x:c>
      <x:c r="F203" s="2" t="str">
        <x:v>Prompt Generation for Semantic Re-ranking</x:v>
      </x:c>
      <x:c r="G203" s="2" t="str">
        <x:v>zero-shot-re-ranking-prompt-chatgpt</x:v>
      </x:c>
      <x:c r="H203" s="6" t="str">
        <x:v>与F2相同，ChatGPT-4o-mini使用相同的重排序提示。</x:v>
      </x:c>
      <x:c r="I203" s="2" t="str">
        <x:v>Yes</x:v>
      </x:c>
      <x:c r="J203" s="2"/>
      <x:c r="K203" s="6" t="str">
        <x:v>Prompt design</x:v>
      </x:c>
      <x:c r="L203" s="2" t="str">
        <x:v>Few-shot/in-context examples</x:v>
      </x:c>
      <x:c r="M203" s="2" t="str">
        <x:v>Few-shot/in-context examples; Zero-shot prompting</x:v>
      </x:c>
      <x:c r="N203" s="2" t="str">
        <x:v>Yes</x:v>
      </x:c>
      <x:c r="O203" s="2" t="str">
        <x:v>Full prompt reported</x:v>
      </x:c>
      <x:c r="P203" s="2" t="str">
        <x:v>0</x:v>
      </x:c>
      <x:c r="Q203" s="2" t="str">
        <x:v>No</x:v>
      </x:c>
      <x:c r="R203" s="2" t="str">
        <x:v>No</x:v>
      </x:c>
      <x:c r="S203" s="2" t="str">
        <x:v>No</x:v>
      </x:c>
      <x:c r="T203" s="2" t="str">
        <x:v>NR</x:v>
      </x:c>
      <x:c r="U203" s="6" t="str">
        <x:v>p. 8; Figure 6</x:v>
      </x:c>
      <x:c r="V203" s="6" t="str">
        <x:v>Figure 6: The Prompt for Semantic Re-ranking.</x:v>
      </x:c>
      <x:c r="W203" s="6" t="str">
        <x:v>ChatGPT-4o-mini在语义重排序模块采用相同的零样本提示。</x:v>
      </x:c>
      <x:c r="X203" s="6" t="str">
        <x:v>NA</x:v>
      </x:c>
    </x:row>
    <x:row r="204" ht="76" customHeight="1">
      <x:c r="A204" s="2" t="str">
        <x:v>S41</x:v>
      </x:c>
      <x:c r="B204" s="2" t="str">
        <x:v>S41-CF05</x:v>
      </x:c>
      <x:c r="C204" s="2" t="str">
        <x:v>S41-MU06</x:v>
      </x:c>
      <x:c r="D204" s="2" t="str">
        <x:v>S41-O01</x:v>
      </x:c>
      <x:c r="E204" s="2" t="str">
        <x:v>Prompting</x:v>
      </x:c>
      <x:c r="F204" s="2" t="str">
        <x:v>Prompt Generation for Semantic Summarization</x:v>
      </x:c>
      <x:c r="G204" s="2" t="str">
        <x:v>zero-shot-summarization-prompt-claude</x:v>
      </x:c>
      <x:c r="H204" s="6" t="str">
        <x:v>与F1相同，Claude-3.7-Sonnet使用相同的摘要提示。</x:v>
      </x:c>
      <x:c r="I204" s="2" t="str">
        <x:v>Yes</x:v>
      </x:c>
      <x:c r="J204" s="2"/>
      <x:c r="K204" s="6" t="str">
        <x:v>Prompt design</x:v>
      </x:c>
      <x:c r="L204" s="2" t="str">
        <x:v>Few-shot/in-context examples</x:v>
      </x:c>
      <x:c r="M204" s="2" t="str">
        <x:v>Few-shot/in-context examples; Zero-shot prompting</x:v>
      </x:c>
      <x:c r="N204" s="2" t="str">
        <x:v>Yes</x:v>
      </x:c>
      <x:c r="O204" s="2" t="str">
        <x:v>Full prompt reported</x:v>
      </x:c>
      <x:c r="P204" s="2" t="str">
        <x:v>0</x:v>
      </x:c>
      <x:c r="Q204" s="2" t="str">
        <x:v>No</x:v>
      </x:c>
      <x:c r="R204" s="2" t="str">
        <x:v>No</x:v>
      </x:c>
      <x:c r="S204" s="2" t="str">
        <x:v>No</x:v>
      </x:c>
      <x:c r="T204" s="2" t="str">
        <x:v>NR</x:v>
      </x:c>
      <x:c r="U204" s="6" t="str">
        <x:v>p. 7; Figure 4</x:v>
      </x:c>
      <x:c r="V204" s="6" t="str">
        <x:v>Figure 4: The Prompt for Semantic Summarization.</x:v>
      </x:c>
      <x:c r="W204" s="6" t="str">
        <x:v>Claude-3.7-Sonnet在语义摘要模块采用相同的零样本提示。</x:v>
      </x:c>
      <x:c r="X204" s="6" t="str">
        <x:v>NA</x:v>
      </x:c>
    </x:row>
    <x:row r="205" ht="76" customHeight="1">
      <x:c r="A205" s="2" t="str">
        <x:v>S41</x:v>
      </x:c>
      <x:c r="B205" s="2" t="str">
        <x:v>S41-CF06</x:v>
      </x:c>
      <x:c r="C205" s="2" t="str">
        <x:v>S41-MU06</x:v>
      </x:c>
      <x:c r="D205" s="2" t="str">
        <x:v>S41-O02</x:v>
      </x:c>
      <x:c r="E205" s="2" t="str">
        <x:v>Prompting</x:v>
      </x:c>
      <x:c r="F205" s="2" t="str">
        <x:v>Prompt Generation for Semantic Re-ranking</x:v>
      </x:c>
      <x:c r="G205" s="2" t="str">
        <x:v>zero-shot-re-ranking-prompt-claude</x:v>
      </x:c>
      <x:c r="H205" s="6" t="str">
        <x:v>与F2相同，Claude-3.7-Sonnet使用相同的重排序提示。</x:v>
      </x:c>
      <x:c r="I205" s="2" t="str">
        <x:v>Yes</x:v>
      </x:c>
      <x:c r="J205" s="2"/>
      <x:c r="K205" s="6" t="str">
        <x:v>Prompt design</x:v>
      </x:c>
      <x:c r="L205" s="2" t="str">
        <x:v>Few-shot/in-context examples</x:v>
      </x:c>
      <x:c r="M205" s="2" t="str">
        <x:v>Few-shot/in-context examples; Zero-shot prompting</x:v>
      </x:c>
      <x:c r="N205" s="2" t="str">
        <x:v>Yes</x:v>
      </x:c>
      <x:c r="O205" s="2" t="str">
        <x:v>Full prompt reported</x:v>
      </x:c>
      <x:c r="P205" s="2" t="str">
        <x:v>0</x:v>
      </x:c>
      <x:c r="Q205" s="2" t="str">
        <x:v>No</x:v>
      </x:c>
      <x:c r="R205" s="2" t="str">
        <x:v>No</x:v>
      </x:c>
      <x:c r="S205" s="2" t="str">
        <x:v>No</x:v>
      </x:c>
      <x:c r="T205" s="2" t="str">
        <x:v>NR</x:v>
      </x:c>
      <x:c r="U205" s="6" t="str">
        <x:v>p. 8; Figure 6</x:v>
      </x:c>
      <x:c r="V205" s="6" t="str">
        <x:v>Figure 6: The Prompt for Semantic Re-ranking.</x:v>
      </x:c>
      <x:c r="W205" s="6" t="str">
        <x:v>Claude-3.7-Sonnet在语义重排序模块采用相同的零样本提示。</x:v>
      </x:c>
      <x:c r="X205" s="6" t="str">
        <x:v>NA</x:v>
      </x:c>
    </x:row>
    <x:row r="206" ht="76" customHeight="1">
      <x:c r="A206" s="2" t="str">
        <x:v>S42</x:v>
      </x:c>
      <x:c r="B206" s="2" t="str">
        <x:v>S42-CF01</x:v>
      </x:c>
      <x:c r="C206" s="2" t="str">
        <x:v>S42-MU01</x:v>
      </x:c>
      <x:c r="D206" s="2" t="str">
        <x:v>S42-O01</x:v>
      </x:c>
      <x:c r="E206" s="2" t="str">
        <x:v>Context construction</x:v>
      </x:c>
      <x:c r="F206" s="2" t="str">
        <x:v>Retrieval-augmented generation (RAG)</x:v>
      </x:c>
      <x:c r="G206" s="2" t="str">
        <x:v>RAG-CONTEXT</x:v>
      </x:c>
      <x:c r="H206" s="6" t="str">
        <x:v>通过嵌入检索从目标需求集中获取Top-k个最相似的候选目标需求，作为LLM提示的上下文。</x:v>
      </x:c>
      <x:c r="I206" s="2" t="str">
        <x:v>Yes</x:v>
      </x:c>
      <x:c r="J206" s="2"/>
      <x:c r="K206" s="6" t="str">
        <x:v>Input and context construction</x:v>
      </x:c>
      <x:c r="L206" s="2" t="str">
        <x:v>Retrieved context</x:v>
      </x:c>
      <x:c r="M206" s="2" t="str">
        <x:v>Retrieved context</x:v>
      </x:c>
      <x:c r="N206" s="2" t="str">
        <x:v>NA</x:v>
      </x:c>
      <x:c r="O206" s="2" t="str">
        <x:v>NA</x:v>
      </x:c>
      <x:c r="P206" s="2" t="str">
        <x:v>NA</x:v>
      </x:c>
      <x:c r="Q206" s="2" t="str">
        <x:v>Yes</x:v>
      </x:c>
      <x:c r="R206" s="2" t="str">
        <x:v>No</x:v>
      </x:c>
      <x:c r="S206" s="2" t="str">
        <x:v>No</x:v>
      </x:c>
      <x:c r="T206" s="2" t="str">
        <x:v>NA</x:v>
      </x:c>
      <x:c r="U206" s="6" t="str">
        <x:v>p. 3; Section 3</x:v>
      </x:c>
      <x:c r="V206" s="6" t="str">
        <x:v>relevant documents are requirements from the set of target artifacts that might be candidates for having a trace link</x:v>
      </x:c>
      <x:c r="W206" s="6" t="str">
        <x:v>RAG的检索步骤为每个源需求构造候选目标需求集合，作为分类LLM的上下文输入。</x:v>
      </x:c>
      <x:c r="X206" s="6" t="str">
        <x:v>Used by all configurations.</x:v>
      </x:c>
    </x:row>
    <x:row r="207" ht="76" customHeight="1">
      <x:c r="A207" s="2" t="str">
        <x:v>S42</x:v>
      </x:c>
      <x:c r="B207" s="2" t="str">
        <x:v>S42-CF02</x:v>
      </x:c>
      <x:c r="C207" s="2" t="str">
        <x:v>S42-MU01</x:v>
      </x:c>
      <x:c r="D207" s="2" t="str">
        <x:v>S42-O01</x:v>
      </x:c>
      <x:c r="E207" s="2" t="str">
        <x:v>Prompting</x:v>
      </x:c>
      <x:c r="F207" s="2" t="str">
        <x:v>KISS prompt</x:v>
      </x:c>
      <x:c r="G207" s="2" t="str">
        <x:v>KISS</x:v>
      </x:c>
      <x:c r="H207" s="6" t="str">
        <x:v>简单零样本分类提示，直接询问源需求与目标需求是否相关，要求回答yes/no。</x:v>
      </x:c>
      <x:c r="I207" s="2" t="str">
        <x:v>Yes</x:v>
      </x:c>
      <x:c r="J207" s="2"/>
      <x:c r="K207" s="6" t="str">
        <x:v>Prompt design</x:v>
      </x:c>
      <x:c r="L207" s="2" t="str">
        <x:v>Task-specific prompting</x:v>
      </x:c>
      <x:c r="M207" s="2" t="str">
        <x:v>Retrieved context</x:v>
      </x:c>
      <x:c r="N207" s="2" t="str">
        <x:v>Yes</x:v>
      </x:c>
      <x:c r="O207" s="2" t="str">
        <x:v>Full prompt reported</x:v>
      </x:c>
      <x:c r="P207" s="2" t="str">
        <x:v>0</x:v>
      </x:c>
      <x:c r="Q207" s="2" t="str">
        <x:v>Yes</x:v>
      </x:c>
      <x:c r="R207" s="2" t="str">
        <x:v>No</x:v>
      </x:c>
      <x:c r="S207" s="2" t="str">
        <x:v>No</x:v>
      </x:c>
      <x:c r="T207" s="2" t="str">
        <x:v>NA</x:v>
      </x:c>
      <x:c r="U207" s="6" t="str">
        <x:v>p. 5; Prompt 1</x:v>
      </x:c>
      <x:c r="V207" s="6" t="str">
        <x:v>Are they related? Answer with 'yes' or 'no'.</x:v>
      </x:c>
      <x:c r="W207" s="6" t="str">
        <x:v>KISS提示是一种零样本的二元分类提示，不提供示例或推理要求。</x:v>
      </x:c>
      <x:c r="X207" s="6" t="str">
        <x:v>Zero-shot prompt.</x:v>
      </x:c>
    </x:row>
    <x:row r="208" ht="76" customHeight="1">
      <x:c r="A208" s="2" t="str">
        <x:v>S42</x:v>
      </x:c>
      <x:c r="B208" s="2" t="str">
        <x:v>S42-CF03</x:v>
      </x:c>
      <x:c r="C208" s="2" t="str">
        <x:v>S42-MU02</x:v>
      </x:c>
      <x:c r="D208" s="2" t="str">
        <x:v>S42-O01</x:v>
      </x:c>
      <x:c r="E208" s="2" t="str">
        <x:v>Context construction</x:v>
      </x:c>
      <x:c r="F208" s="2" t="str">
        <x:v>Retrieval-augmented generation (RAG)</x:v>
      </x:c>
      <x:c r="G208" s="2" t="str">
        <x:v>RAG-CONTEXT</x:v>
      </x:c>
      <x:c r="H208" s="6" t="str">
        <x:v>通过嵌入检索从目标需求集中获取Top-k个最相似的候选目标需求，作为LLM提示的上下文。</x:v>
      </x:c>
      <x:c r="I208" s="2" t="str">
        <x:v>Yes</x:v>
      </x:c>
      <x:c r="J208" s="2"/>
      <x:c r="K208" s="6" t="str">
        <x:v>Input and context construction</x:v>
      </x:c>
      <x:c r="L208" s="2" t="str">
        <x:v>Retrieved context</x:v>
      </x:c>
      <x:c r="M208" s="2" t="str">
        <x:v>Retrieved context</x:v>
      </x:c>
      <x:c r="N208" s="2" t="str">
        <x:v>NA</x:v>
      </x:c>
      <x:c r="O208" s="2" t="str">
        <x:v>NA</x:v>
      </x:c>
      <x:c r="P208" s="2" t="str">
        <x:v>NA</x:v>
      </x:c>
      <x:c r="Q208" s="2" t="str">
        <x:v>Yes</x:v>
      </x:c>
      <x:c r="R208" s="2" t="str">
        <x:v>No</x:v>
      </x:c>
      <x:c r="S208" s="2" t="str">
        <x:v>No</x:v>
      </x:c>
      <x:c r="T208" s="2" t="str">
        <x:v>NA</x:v>
      </x:c>
      <x:c r="U208" s="6" t="str">
        <x:v>p. 3; Section 3</x:v>
      </x:c>
      <x:c r="V208" s="6" t="str">
        <x:v>relevant documents are requirements from the set of target artifacts that might be candidates for having a trace link</x:v>
      </x:c>
      <x:c r="W208" s="6" t="str">
        <x:v>RAG的检索步骤为每个源需求构造候选目标需求集合，作为分类LLM的上下文输入。</x:v>
      </x:c>
      <x:c r="X208" s="6" t="str">
        <x:v>Used by all configurations.</x:v>
      </x:c>
    </x:row>
    <x:row r="209" ht="76" customHeight="1">
      <x:c r="A209" s="2" t="str">
        <x:v>S42</x:v>
      </x:c>
      <x:c r="B209" s="2" t="str">
        <x:v>S42-CF04</x:v>
      </x:c>
      <x:c r="C209" s="2" t="str">
        <x:v>S42-MU02</x:v>
      </x:c>
      <x:c r="D209" s="2" t="str">
        <x:v>S42-O01</x:v>
      </x:c>
      <x:c r="E209" s="2" t="str">
        <x:v>Prompting</x:v>
      </x:c>
      <x:c r="F209" s="2" t="str">
        <x:v>KISS prompt</x:v>
      </x:c>
      <x:c r="G209" s="2" t="str">
        <x:v>KISS</x:v>
      </x:c>
      <x:c r="H209" s="6" t="str">
        <x:v>简单零样本分类提示，直接询问源需求与目标需求是否相关，要求回答yes/no。</x:v>
      </x:c>
      <x:c r="I209" s="2" t="str">
        <x:v>Yes</x:v>
      </x:c>
      <x:c r="J209" s="2"/>
      <x:c r="K209" s="6" t="str">
        <x:v>Prompt design</x:v>
      </x:c>
      <x:c r="L209" s="2" t="str">
        <x:v>Task-specific prompting</x:v>
      </x:c>
      <x:c r="M209" s="2" t="str">
        <x:v>Retrieved context</x:v>
      </x:c>
      <x:c r="N209" s="2" t="str">
        <x:v>Yes</x:v>
      </x:c>
      <x:c r="O209" s="2" t="str">
        <x:v>Full prompt reported</x:v>
      </x:c>
      <x:c r="P209" s="2" t="str">
        <x:v>0</x:v>
      </x:c>
      <x:c r="Q209" s="2" t="str">
        <x:v>Yes</x:v>
      </x:c>
      <x:c r="R209" s="2" t="str">
        <x:v>No</x:v>
      </x:c>
      <x:c r="S209" s="2" t="str">
        <x:v>No</x:v>
      </x:c>
      <x:c r="T209" s="2" t="str">
        <x:v>NA</x:v>
      </x:c>
      <x:c r="U209" s="6" t="str">
        <x:v>p. 5; Prompt 1</x:v>
      </x:c>
      <x:c r="V209" s="6" t="str">
        <x:v>Are they related? Answer with 'yes' or 'no'.</x:v>
      </x:c>
      <x:c r="W209" s="6" t="str">
        <x:v>KISS提示是一种零样本的二元分类提示，不提供示例或推理要求。</x:v>
      </x:c>
      <x:c r="X209" s="6" t="str">
        <x:v>Zero-shot prompt.</x:v>
      </x:c>
    </x:row>
    <x:row r="210" ht="76" customHeight="1">
      <x:c r="A210" s="2" t="str">
        <x:v>S42</x:v>
      </x:c>
      <x:c r="B210" s="2" t="str">
        <x:v>S42-CF05</x:v>
      </x:c>
      <x:c r="C210" s="2" t="str">
        <x:v>S42-MU03</x:v>
      </x:c>
      <x:c r="D210" s="2" t="str">
        <x:v>S42-O01</x:v>
      </x:c>
      <x:c r="E210" s="2" t="str">
        <x:v>Context construction</x:v>
      </x:c>
      <x:c r="F210" s="2" t="str">
        <x:v>Retrieval-augmented generation (RAG)</x:v>
      </x:c>
      <x:c r="G210" s="2" t="str">
        <x:v>RAG-CONTEXT</x:v>
      </x:c>
      <x:c r="H210" s="6" t="str">
        <x:v>通过嵌入检索从目标需求集中获取Top-k个最相似的候选目标需求，作为LLM提示的上下文。</x:v>
      </x:c>
      <x:c r="I210" s="2" t="str">
        <x:v>Yes</x:v>
      </x:c>
      <x:c r="J210" s="2"/>
      <x:c r="K210" s="6" t="str">
        <x:v>Input and context construction</x:v>
      </x:c>
      <x:c r="L210" s="2" t="str">
        <x:v>Retrieved context</x:v>
      </x:c>
      <x:c r="M210" s="2" t="str">
        <x:v>Retrieved context</x:v>
      </x:c>
      <x:c r="N210" s="2" t="str">
        <x:v>NA</x:v>
      </x:c>
      <x:c r="O210" s="2" t="str">
        <x:v>NA</x:v>
      </x:c>
      <x:c r="P210" s="2" t="str">
        <x:v>NA</x:v>
      </x:c>
      <x:c r="Q210" s="2" t="str">
        <x:v>Yes</x:v>
      </x:c>
      <x:c r="R210" s="2" t="str">
        <x:v>No</x:v>
      </x:c>
      <x:c r="S210" s="2" t="str">
        <x:v>No</x:v>
      </x:c>
      <x:c r="T210" s="2" t="str">
        <x:v>NA</x:v>
      </x:c>
      <x:c r="U210" s="6" t="str">
        <x:v>p. 3; Section 3</x:v>
      </x:c>
      <x:c r="V210" s="6" t="str">
        <x:v>relevant documents are requirements from the set of target artifacts that might be candidates for having a trace link</x:v>
      </x:c>
      <x:c r="W210" s="6" t="str">
        <x:v>RAG的检索步骤为每个源需求构造候选目标需求集合，作为分类LLM的上下文输入。</x:v>
      </x:c>
      <x:c r="X210" s="6" t="str">
        <x:v>Used by all configurations.</x:v>
      </x:c>
    </x:row>
    <x:row r="211" ht="76" customHeight="1">
      <x:c r="A211" s="2" t="str">
        <x:v>S42</x:v>
      </x:c>
      <x:c r="B211" s="2" t="str">
        <x:v>S42-CF06</x:v>
      </x:c>
      <x:c r="C211" s="2" t="str">
        <x:v>S42-MU03</x:v>
      </x:c>
      <x:c r="D211" s="2" t="str">
        <x:v>S42-O01</x:v>
      </x:c>
      <x:c r="E211" s="2" t="str">
        <x:v>Prompting</x:v>
      </x:c>
      <x:c r="F211" s="2" t="str">
        <x:v>KISS prompt</x:v>
      </x:c>
      <x:c r="G211" s="2" t="str">
        <x:v>KISS</x:v>
      </x:c>
      <x:c r="H211" s="6" t="str">
        <x:v>简单零样本分类提示，直接询问源需求与目标需求是否相关，要求回答yes/no。</x:v>
      </x:c>
      <x:c r="I211" s="2" t="str">
        <x:v>Yes</x:v>
      </x:c>
      <x:c r="J211" s="2"/>
      <x:c r="K211" s="6" t="str">
        <x:v>Prompt design</x:v>
      </x:c>
      <x:c r="L211" s="2" t="str">
        <x:v>Task-specific prompting</x:v>
      </x:c>
      <x:c r="M211" s="2" t="str">
        <x:v>Retrieved context</x:v>
      </x:c>
      <x:c r="N211" s="2" t="str">
        <x:v>Yes</x:v>
      </x:c>
      <x:c r="O211" s="2" t="str">
        <x:v>Full prompt reported</x:v>
      </x:c>
      <x:c r="P211" s="2" t="str">
        <x:v>0</x:v>
      </x:c>
      <x:c r="Q211" s="2" t="str">
        <x:v>Yes</x:v>
      </x:c>
      <x:c r="R211" s="2" t="str">
        <x:v>No</x:v>
      </x:c>
      <x:c r="S211" s="2" t="str">
        <x:v>No</x:v>
      </x:c>
      <x:c r="T211" s="2" t="str">
        <x:v>NA</x:v>
      </x:c>
      <x:c r="U211" s="6" t="str">
        <x:v>p. 5; Prompt 1</x:v>
      </x:c>
      <x:c r="V211" s="6" t="str">
        <x:v>Are they related? Answer with 'yes' or 'no'.</x:v>
      </x:c>
      <x:c r="W211" s="6" t="str">
        <x:v>KISS提示是一种零样本的二元分类提示，不提供示例或推理要求。</x:v>
      </x:c>
      <x:c r="X211" s="6" t="str">
        <x:v>Zero-shot prompt.</x:v>
      </x:c>
    </x:row>
    <x:row r="212" ht="76" customHeight="1">
      <x:c r="A212" s="2" t="str">
        <x:v>S42</x:v>
      </x:c>
      <x:c r="B212" s="2" t="str">
        <x:v>S42-CF07</x:v>
      </x:c>
      <x:c r="C212" s="2" t="str">
        <x:v>S42-MU04</x:v>
      </x:c>
      <x:c r="D212" s="2" t="str">
        <x:v>S42-O01</x:v>
      </x:c>
      <x:c r="E212" s="2" t="str">
        <x:v>Context construction</x:v>
      </x:c>
      <x:c r="F212" s="2" t="str">
        <x:v>Retrieval-augmented generation (RAG)</x:v>
      </x:c>
      <x:c r="G212" s="2" t="str">
        <x:v>RAG-CONTEXT</x:v>
      </x:c>
      <x:c r="H212" s="6" t="str">
        <x:v>通过嵌入检索从目标需求集中获取Top-k个最相似的候选目标需求，作为LLM提示的上下文。</x:v>
      </x:c>
      <x:c r="I212" s="2" t="str">
        <x:v>Yes</x:v>
      </x:c>
      <x:c r="J212" s="2"/>
      <x:c r="K212" s="6" t="str">
        <x:v>Input and context construction</x:v>
      </x:c>
      <x:c r="L212" s="2" t="str">
        <x:v>Retrieved context</x:v>
      </x:c>
      <x:c r="M212" s="2" t="str">
        <x:v>Retrieved context</x:v>
      </x:c>
      <x:c r="N212" s="2" t="str">
        <x:v>NA</x:v>
      </x:c>
      <x:c r="O212" s="2" t="str">
        <x:v>NA</x:v>
      </x:c>
      <x:c r="P212" s="2" t="str">
        <x:v>NA</x:v>
      </x:c>
      <x:c r="Q212" s="2" t="str">
        <x:v>Yes</x:v>
      </x:c>
      <x:c r="R212" s="2" t="str">
        <x:v>No</x:v>
      </x:c>
      <x:c r="S212" s="2" t="str">
        <x:v>No</x:v>
      </x:c>
      <x:c r="T212" s="2" t="str">
        <x:v>NA</x:v>
      </x:c>
      <x:c r="U212" s="6" t="str">
        <x:v>p. 3; Section 3</x:v>
      </x:c>
      <x:c r="V212" s="6" t="str">
        <x:v>relevant documents are requirements from the set of target artifacts that might be candidates for having a trace link</x:v>
      </x:c>
      <x:c r="W212" s="6" t="str">
        <x:v>RAG的检索步骤为每个源需求构造候选目标需求集合，作为分类LLM的上下文输入。</x:v>
      </x:c>
      <x:c r="X212" s="6" t="str">
        <x:v>Used by all configurations.</x:v>
      </x:c>
    </x:row>
    <x:row r="213" ht="76" customHeight="1">
      <x:c r="A213" s="2" t="str">
        <x:v>S42</x:v>
      </x:c>
      <x:c r="B213" s="2" t="str">
        <x:v>S42-CF08</x:v>
      </x:c>
      <x:c r="C213" s="2" t="str">
        <x:v>S42-MU04</x:v>
      </x:c>
      <x:c r="D213" s="2" t="str">
        <x:v>S42-O01</x:v>
      </x:c>
      <x:c r="E213" s="2" t="str">
        <x:v>Prompting</x:v>
      </x:c>
      <x:c r="F213" s="2" t="str">
        <x:v>KISS prompt</x:v>
      </x:c>
      <x:c r="G213" s="2" t="str">
        <x:v>KISS</x:v>
      </x:c>
      <x:c r="H213" s="6" t="str">
        <x:v>简单零样本分类提示，直接询问源需求与目标需求是否相关，要求回答yes/no。</x:v>
      </x:c>
      <x:c r="I213" s="2" t="str">
        <x:v>Yes</x:v>
      </x:c>
      <x:c r="J213" s="2"/>
      <x:c r="K213" s="6" t="str">
        <x:v>Prompt design</x:v>
      </x:c>
      <x:c r="L213" s="2" t="str">
        <x:v>Task-specific prompting</x:v>
      </x:c>
      <x:c r="M213" s="2" t="str">
        <x:v>Retrieved context</x:v>
      </x:c>
      <x:c r="N213" s="2" t="str">
        <x:v>Yes</x:v>
      </x:c>
      <x:c r="O213" s="2" t="str">
        <x:v>Full prompt reported</x:v>
      </x:c>
      <x:c r="P213" s="2" t="str">
        <x:v>0</x:v>
      </x:c>
      <x:c r="Q213" s="2" t="str">
        <x:v>Yes</x:v>
      </x:c>
      <x:c r="R213" s="2" t="str">
        <x:v>No</x:v>
      </x:c>
      <x:c r="S213" s="2" t="str">
        <x:v>No</x:v>
      </x:c>
      <x:c r="T213" s="2" t="str">
        <x:v>NA</x:v>
      </x:c>
      <x:c r="U213" s="6" t="str">
        <x:v>p. 5; Prompt 1</x:v>
      </x:c>
      <x:c r="V213" s="6" t="str">
        <x:v>Are they related? Answer with 'yes' or 'no'.</x:v>
      </x:c>
      <x:c r="W213" s="6" t="str">
        <x:v>KISS提示是一种零样本的二元分类提示，不提供示例或推理要求。</x:v>
      </x:c>
      <x:c r="X213" s="6" t="str">
        <x:v>Zero-shot prompt.</x:v>
      </x:c>
    </x:row>
    <x:row r="214" ht="76" customHeight="1">
      <x:c r="A214" s="2" t="str">
        <x:v>S42</x:v>
      </x:c>
      <x:c r="B214" s="2" t="str">
        <x:v>S42-CF09</x:v>
      </x:c>
      <x:c r="C214" s="2" t="str">
        <x:v>S42-MU05</x:v>
      </x:c>
      <x:c r="D214" s="2" t="str">
        <x:v>S42-O01</x:v>
      </x:c>
      <x:c r="E214" s="2" t="str">
        <x:v>Context construction</x:v>
      </x:c>
      <x:c r="F214" s="2" t="str">
        <x:v>Retrieval-augmented generation (RAG)</x:v>
      </x:c>
      <x:c r="G214" s="2" t="str">
        <x:v>RAG-CONTEXT</x:v>
      </x:c>
      <x:c r="H214" s="6" t="str">
        <x:v>通过嵌入检索从目标需求集中获取Top-k个最相似的候选目标需求，作为LLM提示的上下文。</x:v>
      </x:c>
      <x:c r="I214" s="2" t="str">
        <x:v>Yes</x:v>
      </x:c>
      <x:c r="J214" s="2"/>
      <x:c r="K214" s="6" t="str">
        <x:v>Input and context construction</x:v>
      </x:c>
      <x:c r="L214" s="2" t="str">
        <x:v>Retrieved context</x:v>
      </x:c>
      <x:c r="M214" s="2" t="str">
        <x:v>Retrieved context</x:v>
      </x:c>
      <x:c r="N214" s="2" t="str">
        <x:v>NA</x:v>
      </x:c>
      <x:c r="O214" s="2" t="str">
        <x:v>NA</x:v>
      </x:c>
      <x:c r="P214" s="2" t="str">
        <x:v>NA</x:v>
      </x:c>
      <x:c r="Q214" s="2" t="str">
        <x:v>Yes</x:v>
      </x:c>
      <x:c r="R214" s="2" t="str">
        <x:v>No</x:v>
      </x:c>
      <x:c r="S214" s="2" t="str">
        <x:v>No</x:v>
      </x:c>
      <x:c r="T214" s="2" t="str">
        <x:v>NA</x:v>
      </x:c>
      <x:c r="U214" s="6" t="str">
        <x:v>p. 3; Section 3</x:v>
      </x:c>
      <x:c r="V214" s="6" t="str">
        <x:v>relevant documents are requirements from the set of target artifacts that might be candidates for having a trace link</x:v>
      </x:c>
      <x:c r="W214" s="6" t="str">
        <x:v>RAG的检索步骤为每个源需求构造候选目标需求集合，作为分类LLM的上下文输入。</x:v>
      </x:c>
      <x:c r="X214" s="6" t="str">
        <x:v>Used by all configurations.</x:v>
      </x:c>
    </x:row>
    <x:row r="215" ht="76" customHeight="1">
      <x:c r="A215" s="2" t="str">
        <x:v>S42</x:v>
      </x:c>
      <x:c r="B215" s="2" t="str">
        <x:v>S42-CF10</x:v>
      </x:c>
      <x:c r="C215" s="2" t="str">
        <x:v>S42-MU05</x:v>
      </x:c>
      <x:c r="D215" s="2" t="str">
        <x:v>S42-O01</x:v>
      </x:c>
      <x:c r="E215" s="2" t="str">
        <x:v>Prompting</x:v>
      </x:c>
      <x:c r="F215" s="2" t="str">
        <x:v>CoT prompt</x:v>
      </x:c>
      <x:c r="G215" s="2" t="str">
        <x:v>CoT</x:v>
      </x:c>
      <x:c r="H215" s="6" t="str">
        <x:v>链式思维零样本提示，要求LLM在判断是否存在可追溯链接前先给出推理，并以&lt;trace&gt;标签包含答案。</x:v>
      </x:c>
      <x:c r="I215" s="2" t="str">
        <x:v>Yes</x:v>
      </x:c>
      <x:c r="J215" s="2"/>
      <x:c r="K215" s="6" t="str">
        <x:v>Prompt design</x:v>
      </x:c>
      <x:c r="L215" s="2" t="str">
        <x:v>Reasoning elicitation</x:v>
      </x:c>
      <x:c r="M215" s="2" t="str">
        <x:v>Reasoning elicitation; Retrieved context</x:v>
      </x:c>
      <x:c r="N215" s="2" t="str">
        <x:v>Yes</x:v>
      </x:c>
      <x:c r="O215" s="2" t="str">
        <x:v>Full prompt reported</x:v>
      </x:c>
      <x:c r="P215" s="2" t="str">
        <x:v>0</x:v>
      </x:c>
      <x:c r="Q215" s="2" t="str">
        <x:v>Yes</x:v>
      </x:c>
      <x:c r="R215" s="2" t="str">
        <x:v>No</x:v>
      </x:c>
      <x:c r="S215" s="2" t="str">
        <x:v>No</x:v>
      </x:c>
      <x:c r="T215" s="2" t="str">
        <x:v>NA</x:v>
      </x:c>
      <x:c r="U215" s="6" t="str">
        <x:v>p. 5; Prompt 2</x:v>
      </x:c>
      <x:c r="V215" s="6" t="str">
        <x:v>Give your reasoning and then answer with 'yes' or 'no' enclosed in &lt;trace&gt; &lt;/trace&gt;.</x:v>
      </x:c>
      <x:c r="W215" s="6" t="str">
        <x:v>CoT提示要求模型先推理后回答，是一种零样本链式思维提示技术。</x:v>
      </x:c>
      <x:c r="X215" s="6" t="str">
        <x:v>Zero-shot CoT prompt.</x:v>
      </x:c>
    </x:row>
    <x:row r="216" ht="76" customHeight="1">
      <x:c r="A216" s="2" t="str">
        <x:v>S42</x:v>
      </x:c>
      <x:c r="B216" s="2" t="str">
        <x:v>S42-CF11</x:v>
      </x:c>
      <x:c r="C216" s="2" t="str">
        <x:v>S42-MU06</x:v>
      </x:c>
      <x:c r="D216" s="2" t="str">
        <x:v>S42-O01</x:v>
      </x:c>
      <x:c r="E216" s="2" t="str">
        <x:v>Context construction</x:v>
      </x:c>
      <x:c r="F216" s="2" t="str">
        <x:v>Retrieval-augmented generation (RAG)</x:v>
      </x:c>
      <x:c r="G216" s="2" t="str">
        <x:v>RAG-CONTEXT</x:v>
      </x:c>
      <x:c r="H216" s="6" t="str">
        <x:v>通过嵌入检索从目标需求集中获取Top-k个最相似的候选目标需求，作为LLM提示的上下文。</x:v>
      </x:c>
      <x:c r="I216" s="2" t="str">
        <x:v>Yes</x:v>
      </x:c>
      <x:c r="J216" s="2"/>
      <x:c r="K216" s="6" t="str">
        <x:v>Input and context construction</x:v>
      </x:c>
      <x:c r="L216" s="2" t="str">
        <x:v>Retrieved context</x:v>
      </x:c>
      <x:c r="M216" s="2" t="str">
        <x:v>Retrieved context</x:v>
      </x:c>
      <x:c r="N216" s="2" t="str">
        <x:v>NA</x:v>
      </x:c>
      <x:c r="O216" s="2" t="str">
        <x:v>NA</x:v>
      </x:c>
      <x:c r="P216" s="2" t="str">
        <x:v>NA</x:v>
      </x:c>
      <x:c r="Q216" s="2" t="str">
        <x:v>Yes</x:v>
      </x:c>
      <x:c r="R216" s="2" t="str">
        <x:v>No</x:v>
      </x:c>
      <x:c r="S216" s="2" t="str">
        <x:v>No</x:v>
      </x:c>
      <x:c r="T216" s="2" t="str">
        <x:v>NA</x:v>
      </x:c>
      <x:c r="U216" s="6" t="str">
        <x:v>p. 3; Section 3</x:v>
      </x:c>
      <x:c r="V216" s="6" t="str">
        <x:v>relevant documents are requirements from the set of target artifacts that might be candidates for having a trace link</x:v>
      </x:c>
      <x:c r="W216" s="6" t="str">
        <x:v>RAG的检索步骤为每个源需求构造候选目标需求集合，作为分类LLM的上下文输入。</x:v>
      </x:c>
      <x:c r="X216" s="6" t="str">
        <x:v>Used by all configurations.</x:v>
      </x:c>
    </x:row>
    <x:row r="217" ht="76" customHeight="1">
      <x:c r="A217" s="2" t="str">
        <x:v>S42</x:v>
      </x:c>
      <x:c r="B217" s="2" t="str">
        <x:v>S42-CF12</x:v>
      </x:c>
      <x:c r="C217" s="2" t="str">
        <x:v>S42-MU06</x:v>
      </x:c>
      <x:c r="D217" s="2" t="str">
        <x:v>S42-O01</x:v>
      </x:c>
      <x:c r="E217" s="2" t="str">
        <x:v>Prompting</x:v>
      </x:c>
      <x:c r="F217" s="2" t="str">
        <x:v>CoT prompt</x:v>
      </x:c>
      <x:c r="G217" s="2" t="str">
        <x:v>CoT</x:v>
      </x:c>
      <x:c r="H217" s="6" t="str">
        <x:v>链式思维零样本提示，要求LLM在判断是否存在可追溯链接前先给出推理，并以&lt;trace&gt;标签包含答案。</x:v>
      </x:c>
      <x:c r="I217" s="2" t="str">
        <x:v>Yes</x:v>
      </x:c>
      <x:c r="J217" s="2"/>
      <x:c r="K217" s="6" t="str">
        <x:v>Prompt design</x:v>
      </x:c>
      <x:c r="L217" s="2" t="str">
        <x:v>Reasoning elicitation</x:v>
      </x:c>
      <x:c r="M217" s="2" t="str">
        <x:v>Reasoning elicitation; Retrieved context</x:v>
      </x:c>
      <x:c r="N217" s="2" t="str">
        <x:v>Yes</x:v>
      </x:c>
      <x:c r="O217" s="2" t="str">
        <x:v>Full prompt reported</x:v>
      </x:c>
      <x:c r="P217" s="2" t="str">
        <x:v>0</x:v>
      </x:c>
      <x:c r="Q217" s="2" t="str">
        <x:v>Yes</x:v>
      </x:c>
      <x:c r="R217" s="2" t="str">
        <x:v>No</x:v>
      </x:c>
      <x:c r="S217" s="2" t="str">
        <x:v>No</x:v>
      </x:c>
      <x:c r="T217" s="2" t="str">
        <x:v>NA</x:v>
      </x:c>
      <x:c r="U217" s="6" t="str">
        <x:v>p. 5; Prompt 2</x:v>
      </x:c>
      <x:c r="V217" s="6" t="str">
        <x:v>Give your reasoning and then answer with 'yes' or 'no' enclosed in &lt;trace&gt; &lt;/trace&gt;.</x:v>
      </x:c>
      <x:c r="W217" s="6" t="str">
        <x:v>CoT提示要求模型先推理后回答，是一种零样本链式思维提示技术。</x:v>
      </x:c>
      <x:c r="X217" s="6" t="str">
        <x:v>Zero-shot CoT prompt.</x:v>
      </x:c>
    </x:row>
    <x:row r="218" ht="76" customHeight="1">
      <x:c r="A218" s="2" t="str">
        <x:v>S42</x:v>
      </x:c>
      <x:c r="B218" s="2" t="str">
        <x:v>S42-CF13</x:v>
      </x:c>
      <x:c r="C218" s="2" t="str">
        <x:v>S42-MU07</x:v>
      </x:c>
      <x:c r="D218" s="2" t="str">
        <x:v>S42-O01</x:v>
      </x:c>
      <x:c r="E218" s="2" t="str">
        <x:v>Context construction</x:v>
      </x:c>
      <x:c r="F218" s="2" t="str">
        <x:v>Retrieval-augmented generation (RAG)</x:v>
      </x:c>
      <x:c r="G218" s="2" t="str">
        <x:v>RAG-CONTEXT</x:v>
      </x:c>
      <x:c r="H218" s="6" t="str">
        <x:v>通过嵌入检索从目标需求集中获取Top-k个最相似的候选目标需求，作为LLM提示的上下文。</x:v>
      </x:c>
      <x:c r="I218" s="2" t="str">
        <x:v>Yes</x:v>
      </x:c>
      <x:c r="J218" s="2"/>
      <x:c r="K218" s="6" t="str">
        <x:v>Input and context construction</x:v>
      </x:c>
      <x:c r="L218" s="2" t="str">
        <x:v>Retrieved context</x:v>
      </x:c>
      <x:c r="M218" s="2" t="str">
        <x:v>Retrieved context</x:v>
      </x:c>
      <x:c r="N218" s="2" t="str">
        <x:v>NA</x:v>
      </x:c>
      <x:c r="O218" s="2" t="str">
        <x:v>NA</x:v>
      </x:c>
      <x:c r="P218" s="2" t="str">
        <x:v>NA</x:v>
      </x:c>
      <x:c r="Q218" s="2" t="str">
        <x:v>Yes</x:v>
      </x:c>
      <x:c r="R218" s="2" t="str">
        <x:v>No</x:v>
      </x:c>
      <x:c r="S218" s="2" t="str">
        <x:v>No</x:v>
      </x:c>
      <x:c r="T218" s="2" t="str">
        <x:v>NA</x:v>
      </x:c>
      <x:c r="U218" s="6" t="str">
        <x:v>p. 3; Section 3</x:v>
      </x:c>
      <x:c r="V218" s="6" t="str">
        <x:v>relevant documents are requirements from the set of target artifacts that might be candidates for having a trace link</x:v>
      </x:c>
      <x:c r="W218" s="6" t="str">
        <x:v>RAG的检索步骤为每个源需求构造候选目标需求集合，作为分类LLM的上下文输入。</x:v>
      </x:c>
      <x:c r="X218" s="6" t="str">
        <x:v>Used by all configurations.</x:v>
      </x:c>
    </x:row>
    <x:row r="219" ht="76" customHeight="1">
      <x:c r="A219" s="2" t="str">
        <x:v>S42</x:v>
      </x:c>
      <x:c r="B219" s="2" t="str">
        <x:v>S42-CF14</x:v>
      </x:c>
      <x:c r="C219" s="2" t="str">
        <x:v>S42-MU07</x:v>
      </x:c>
      <x:c r="D219" s="2" t="str">
        <x:v>S42-O01</x:v>
      </x:c>
      <x:c r="E219" s="2" t="str">
        <x:v>Prompting</x:v>
      </x:c>
      <x:c r="F219" s="2" t="str">
        <x:v>CoT prompt</x:v>
      </x:c>
      <x:c r="G219" s="2" t="str">
        <x:v>CoT</x:v>
      </x:c>
      <x:c r="H219" s="6" t="str">
        <x:v>链式思维零样本提示，要求LLM在判断是否存在可追溯链接前先给出推理，并以&lt;trace&gt;标签包含答案。</x:v>
      </x:c>
      <x:c r="I219" s="2" t="str">
        <x:v>Yes</x:v>
      </x:c>
      <x:c r="J219" s="2"/>
      <x:c r="K219" s="6" t="str">
        <x:v>Prompt design</x:v>
      </x:c>
      <x:c r="L219" s="2" t="str">
        <x:v>Reasoning elicitation</x:v>
      </x:c>
      <x:c r="M219" s="2" t="str">
        <x:v>Reasoning elicitation; Retrieved context</x:v>
      </x:c>
      <x:c r="N219" s="2" t="str">
        <x:v>Yes</x:v>
      </x:c>
      <x:c r="O219" s="2" t="str">
        <x:v>Full prompt reported</x:v>
      </x:c>
      <x:c r="P219" s="2" t="str">
        <x:v>0</x:v>
      </x:c>
      <x:c r="Q219" s="2" t="str">
        <x:v>Yes</x:v>
      </x:c>
      <x:c r="R219" s="2" t="str">
        <x:v>No</x:v>
      </x:c>
      <x:c r="S219" s="2" t="str">
        <x:v>No</x:v>
      </x:c>
      <x:c r="T219" s="2" t="str">
        <x:v>NA</x:v>
      </x:c>
      <x:c r="U219" s="6" t="str">
        <x:v>p. 5; Prompt 2</x:v>
      </x:c>
      <x:c r="V219" s="6" t="str">
        <x:v>Give your reasoning and then answer with 'yes' or 'no' enclosed in &lt;trace&gt; &lt;/trace&gt;.</x:v>
      </x:c>
      <x:c r="W219" s="6" t="str">
        <x:v>CoT提示要求模型先推理后回答，是一种零样本链式思维提示技术。</x:v>
      </x:c>
      <x:c r="X219" s="6" t="str">
        <x:v>Zero-shot CoT prompt.</x:v>
      </x:c>
    </x:row>
    <x:row r="220" ht="76" customHeight="1">
      <x:c r="A220" s="2" t="str">
        <x:v>S42</x:v>
      </x:c>
      <x:c r="B220" s="2" t="str">
        <x:v>S42-CF15</x:v>
      </x:c>
      <x:c r="C220" s="2" t="str">
        <x:v>S42-MU08</x:v>
      </x:c>
      <x:c r="D220" s="2" t="str">
        <x:v>S42-O01</x:v>
      </x:c>
      <x:c r="E220" s="2" t="str">
        <x:v>Context construction</x:v>
      </x:c>
      <x:c r="F220" s="2" t="str">
        <x:v>Retrieval-augmented generation (RAG)</x:v>
      </x:c>
      <x:c r="G220" s="2" t="str">
        <x:v>RAG-CONTEXT</x:v>
      </x:c>
      <x:c r="H220" s="6" t="str">
        <x:v>通过嵌入检索从目标需求集中获取Top-k个最相似的候选目标需求，作为LLM提示的上下文。</x:v>
      </x:c>
      <x:c r="I220" s="2" t="str">
        <x:v>Yes</x:v>
      </x:c>
      <x:c r="J220" s="2"/>
      <x:c r="K220" s="6" t="str">
        <x:v>Input and context construction</x:v>
      </x:c>
      <x:c r="L220" s="2" t="str">
        <x:v>Retrieved context</x:v>
      </x:c>
      <x:c r="M220" s="2" t="str">
        <x:v>Retrieved context</x:v>
      </x:c>
      <x:c r="N220" s="2" t="str">
        <x:v>NA</x:v>
      </x:c>
      <x:c r="O220" s="2" t="str">
        <x:v>NA</x:v>
      </x:c>
      <x:c r="P220" s="2" t="str">
        <x:v>NA</x:v>
      </x:c>
      <x:c r="Q220" s="2" t="str">
        <x:v>Yes</x:v>
      </x:c>
      <x:c r="R220" s="2" t="str">
        <x:v>No</x:v>
      </x:c>
      <x:c r="S220" s="2" t="str">
        <x:v>No</x:v>
      </x:c>
      <x:c r="T220" s="2" t="str">
        <x:v>NA</x:v>
      </x:c>
      <x:c r="U220" s="6" t="str">
        <x:v>p. 3; Section 3</x:v>
      </x:c>
      <x:c r="V220" s="6" t="str">
        <x:v>relevant documents are requirements from the set of target artifacts that might be candidates for having a trace link</x:v>
      </x:c>
      <x:c r="W220" s="6" t="str">
        <x:v>RAG的检索步骤为每个源需求构造候选目标需求集合，作为分类LLM的上下文输入。</x:v>
      </x:c>
      <x:c r="X220" s="6" t="str">
        <x:v>Used by all configurations.</x:v>
      </x:c>
    </x:row>
    <x:row r="221" ht="76" customHeight="1">
      <x:c r="A221" s="2" t="str">
        <x:v>S42</x:v>
      </x:c>
      <x:c r="B221" s="2" t="str">
        <x:v>S42-CF16</x:v>
      </x:c>
      <x:c r="C221" s="2" t="str">
        <x:v>S42-MU08</x:v>
      </x:c>
      <x:c r="D221" s="2" t="str">
        <x:v>S42-O01</x:v>
      </x:c>
      <x:c r="E221" s="2" t="str">
        <x:v>Prompting</x:v>
      </x:c>
      <x:c r="F221" s="2" t="str">
        <x:v>CoT prompt</x:v>
      </x:c>
      <x:c r="G221" s="2" t="str">
        <x:v>CoT</x:v>
      </x:c>
      <x:c r="H221" s="6" t="str">
        <x:v>链式思维零样本提示，要求LLM在判断是否存在可追溯链接前先给出推理，并以&lt;trace&gt;标签包含答案。</x:v>
      </x:c>
      <x:c r="I221" s="2" t="str">
        <x:v>Yes</x:v>
      </x:c>
      <x:c r="J221" s="2"/>
      <x:c r="K221" s="6" t="str">
        <x:v>Prompt design</x:v>
      </x:c>
      <x:c r="L221" s="2" t="str">
        <x:v>Reasoning elicitation</x:v>
      </x:c>
      <x:c r="M221" s="2" t="str">
        <x:v>Reasoning elicitation; Retrieved context</x:v>
      </x:c>
      <x:c r="N221" s="2" t="str">
        <x:v>Yes</x:v>
      </x:c>
      <x:c r="O221" s="2" t="str">
        <x:v>Full prompt reported</x:v>
      </x:c>
      <x:c r="P221" s="2" t="str">
        <x:v>0</x:v>
      </x:c>
      <x:c r="Q221" s="2" t="str">
        <x:v>Yes</x:v>
      </x:c>
      <x:c r="R221" s="2" t="str">
        <x:v>No</x:v>
      </x:c>
      <x:c r="S221" s="2" t="str">
        <x:v>No</x:v>
      </x:c>
      <x:c r="T221" s="2" t="str">
        <x:v>NA</x:v>
      </x:c>
      <x:c r="U221" s="6" t="str">
        <x:v>p. 5; Prompt 2</x:v>
      </x:c>
      <x:c r="V221" s="6" t="str">
        <x:v>Give your reasoning and then answer with 'yes' or 'no' enclosed in &lt;trace&gt; &lt;/trace&gt;.</x:v>
      </x:c>
      <x:c r="W221" s="6" t="str">
        <x:v>CoT提示要求模型先推理后回答，是一种零样本链式思维提示技术。</x:v>
      </x:c>
      <x:c r="X221" s="6" t="str">
        <x:v>Zero-shot CoT prompt.</x:v>
      </x:c>
    </x:row>
    <x:row r="222" ht="76" customHeight="1">
      <x:c r="A222" s="2" t="str">
        <x:v>S43</x:v>
      </x:c>
      <x:c r="B222" s="2" t="str">
        <x:v>S43-CF01</x:v>
      </x:c>
      <x:c r="C222" s="2" t="str">
        <x:v>S43-MU01</x:v>
      </x:c>
      <x:c r="D222" s="2" t="str">
        <x:v>S43-O01</x:v>
      </x:c>
      <x:c r="E222" s="2" t="str">
        <x:v>Prompting</x:v>
      </x:c>
      <x:c r="F222" s="2" t="str">
        <x:v>structured prompt template</x:v>
      </x:c>
      <x:c r="G222" s="2" t="str">
        <x:v>ATTRIBUTION_PROMPT</x:v>
      </x:c>
      <x:c r="H222" s="6" t="str">
        <x:v>设计了结构化提示模板，包含需求、代码文本和关联标签，要求LLM生成不超过60词的技术解释。</x:v>
      </x:c>
      <x:c r="I222" s="2" t="str">
        <x:v>Yes</x:v>
      </x:c>
      <x:c r="J222" s="2"/>
      <x:c r="K222" s="6" t="str">
        <x:v>Prompt design</x:v>
      </x:c>
      <x:c r="L222" s="2" t="str">
        <x:v>Structured/template prompting</x:v>
      </x:c>
      <x:c r="M222" s="2" t="str">
        <x:v>Structured/template prompting</x:v>
      </x:c>
      <x:c r="N222" s="2" t="str">
        <x:v>Yes</x:v>
      </x:c>
      <x:c r="O222" s="2" t="str">
        <x:v>Full prompt reported</x:v>
      </x:c>
      <x:c r="P222" s="2" t="str">
        <x:v>0</x:v>
      </x:c>
      <x:c r="Q222" s="2" t="str">
        <x:v>No</x:v>
      </x:c>
      <x:c r="R222" s="2" t="str">
        <x:v>No</x:v>
      </x:c>
      <x:c r="S222" s="2" t="str">
        <x:v>No</x:v>
      </x:c>
      <x:c r="T222" s="2" t="str">
        <x:v>NA</x:v>
      </x:c>
      <x:c r="U222" s="6" t="str">
        <x:v>p. 4; Section III-A</x:v>
      </x:c>
      <x:c r="V222" s="6" t="str">
        <x:v>f"Analyze this requirement-code pair and explain why they are 'related' if l else 'unrelated' " f"based on their actual content. Focus on technical implementation details.\n\n"</x:v>
      </x:c>
      <x:c r="W222" s="6" t="str">
        <x:v>提示模板明确指定了任务、上下文和输出格式，引导LLM进行归因推理。</x:v>
      </x:c>
      <x:c r="X222" s="6" t="str">
        <x:v>该提示为单轮、零样本设计，输入文本截断至2000字符。</x:v>
      </x:c>
    </x:row>
    <x:row r="223" ht="76" customHeight="1">
      <x:c r="A223" s="2" t="str">
        <x:v>S44</x:v>
      </x:c>
      <x:c r="B223" s="2" t="str">
        <x:v>S44-CF01</x:v>
      </x:c>
      <x:c r="C223" s="2" t="str">
        <x:v>S44-MU02</x:v>
      </x:c>
      <x:c r="D223" s="2" t="str">
        <x:v>S44-O01</x:v>
      </x:c>
      <x:c r="E223" s="2" t="str">
        <x:v>Prompting</x:v>
      </x:c>
      <x:c r="F223" s="2" t="str">
        <x:v>Translation prompt</x:v>
      </x:c>
      <x:c r="G223" s="2" t="str">
        <x:v>translation_prompt</x:v>
      </x:c>
      <x:c r="H223" s="6" t="str">
        <x:v>用于指导GPT-3.5将非英文需求翻译为英文的提示，但论文未提供具体提示内容。</x:v>
      </x:c>
      <x:c r="I223" s="2" t="str">
        <x:v>Yes</x:v>
      </x:c>
      <x:c r="J223" s="2"/>
      <x:c r="K223" s="6" t="str">
        <x:v>Prompt design</x:v>
      </x:c>
      <x:c r="L223" s="2" t="str">
        <x:v>Task-specific prompting</x:v>
      </x:c>
      <x:c r="M223" s="2"/>
      <x:c r="N223" s="2" t="str">
        <x:v>No</x:v>
      </x:c>
      <x:c r="O223" s="2" t="str">
        <x:v>Not reported</x:v>
      </x:c>
      <x:c r="P223" s="2" t="str">
        <x:v>NR</x:v>
      </x:c>
      <x:c r="Q223" s="2" t="str">
        <x:v>No</x:v>
      </x:c>
      <x:c r="R223" s="2" t="str">
        <x:v>No</x:v>
      </x:c>
      <x:c r="S223" s="2" t="str">
        <x:v>No</x:v>
      </x:c>
      <x:c r="T223" s="2" t="str">
        <x:v>NR</x:v>
      </x:c>
      <x:c r="U223" s="6" t="str">
        <x:v>p. 2; B. Preprocessing</x:v>
      </x:c>
      <x:c r="V223" s="6" t="str">
        <x:v>non-English requirements were translated into English using GPT-3.5</x:v>
      </x:c>
      <x:c r="W223" s="6" t="str">
        <x:v>翻译提示的存在是隐含的，但论文未报告任何提示细节，因此无法确定提示的结构。</x:v>
      </x:c>
      <x:c r="X223" s="6" t="str">
        <x:v>NR</x:v>
      </x:c>
    </x:row>
    <x:row r="224" ht="76" customHeight="1">
      <x:c r="A224" s="2" t="str">
        <x:v>S44</x:v>
      </x:c>
      <x:c r="B224" s="2" t="str">
        <x:v>S44-CF02</x:v>
      </x:c>
      <x:c r="C224" s="2" t="str">
        <x:v>S44-MU02</x:v>
      </x:c>
      <x:c r="D224" s="2" t="str">
        <x:v>S44-O02</x:v>
      </x:c>
      <x:c r="E224" s="2" t="str">
        <x:v>Prompting</x:v>
      </x:c>
      <x:c r="F224" s="2" t="str">
        <x:v>CoT prompt</x:v>
      </x:c>
      <x:c r="G224" s="2" t="str">
        <x:v>cot_prompt</x:v>
      </x:c>
      <x:c r="H224" s="6" t="str">
        <x:v>链式思维提示模板，将代码理解任务分解为五个递增步骤：编程语言识别、注释检查、基于命名的推理、代码功能解释、业务需求描述，最终输出业务需求文本。</x:v>
      </x:c>
      <x:c r="I224" s="2" t="str">
        <x:v>Yes</x:v>
      </x:c>
      <x:c r="J224" s="2"/>
      <x:c r="K224" s="6" t="str">
        <x:v>Prompt design</x:v>
      </x:c>
      <x:c r="L224" s="2" t="str">
        <x:v>Reasoning elicitation</x:v>
      </x:c>
      <x:c r="M224" s="2" t="str">
        <x:v>Reasoning elicitation</x:v>
      </x:c>
      <x:c r="N224" s="2" t="str">
        <x:v>Yes</x:v>
      </x:c>
      <x:c r="O224" s="2" t="str">
        <x:v>Template reported</x:v>
      </x:c>
      <x:c r="P224" s="2" t="str">
        <x:v>0</x:v>
      </x:c>
      <x:c r="Q224" s="2" t="str">
        <x:v>No</x:v>
      </x:c>
      <x:c r="R224" s="2" t="str">
        <x:v>No</x:v>
      </x:c>
      <x:c r="S224" s="2" t="str">
        <x:v>No</x:v>
      </x:c>
      <x:c r="T224" s="2" t="str">
        <x:v>NR</x:v>
      </x:c>
      <x:c r="U224" s="6" t="str">
        <x:v>p. 2; C. Prompt Design and Figure 2</x:v>
      </x:c>
      <x:c r="V224" s="6" t="str">
        <x:v>We have subdivided this process into the following five progressive steps following the CoT prompt, as illustrated in Figure 2 for the specific prompt content.</x:v>
      </x:c>
      <x:c r="W224" s="6" t="str">
        <x:v>CoT提示是方法的核心配置，其模板在Figure 2中明确展示，属于零样本CoT风格，无示例，仅通过步骤指令引导推理。</x:v>
      </x:c>
      <x:c r="X224" s="6" t="str">
        <x:v>Figure 2显示了提示模板及示例输出，提示末尾附加源代码。</x:v>
      </x:c>
    </x:row>
    <x:row r="225" ht="76" customHeight="1">
      <x:c r="A225" s="2" t="str">
        <x:v>S45</x:v>
      </x:c>
      <x:c r="B225" s="2" t="str">
        <x:v>S45-CF01</x:v>
      </x:c>
      <x:c r="C225" s="2" t="str">
        <x:v>S45-MU01</x:v>
      </x:c>
      <x:c r="D225" s="2" t="str">
        <x:v>S45-O01</x:v>
      </x:c>
      <x:c r="E225" s="2" t="str">
        <x:v>Prompting</x:v>
      </x:c>
      <x:c r="F225" s="2" t="str">
        <x:v>trace link quality assessment prompt</x:v>
      </x:c>
      <x:c r="G225" s="2" t="str">
        <x:v>prompt_trace_quality</x:v>
      </x:c>
      <x:c r="H225" s="6" t="str">
        <x:v>提示要求 ChatGPT-4o 从有意义性和完整性两个维度评估系统需求与软件需求之间的追溯链接质量。</x:v>
      </x:c>
      <x:c r="I225" s="2" t="str">
        <x:v>Yes</x:v>
      </x:c>
      <x:c r="J225" s="2"/>
      <x:c r="K225" s="6" t="str">
        <x:v>Prompt design</x:v>
      </x:c>
      <x:c r="L225" s="2" t="str">
        <x:v>Task-specific prompting</x:v>
      </x:c>
      <x:c r="M225" s="2"/>
      <x:c r="N225" s="2" t="str">
        <x:v>Yes</x:v>
      </x:c>
      <x:c r="O225" s="2" t="str">
        <x:v>Partial description</x:v>
      </x:c>
      <x:c r="P225" s="2" t="str">
        <x:v>NR</x:v>
      </x:c>
      <x:c r="Q225" s="2" t="str">
        <x:v>No</x:v>
      </x:c>
      <x:c r="R225" s="2" t="str">
        <x:v>No</x:v>
      </x:c>
      <x:c r="S225" s="2" t="str">
        <x:v>No</x:v>
      </x:c>
      <x:c r="T225" s="2" t="str">
        <x:v>NA</x:v>
      </x:c>
      <x:c r="U225" s="6" t="str">
        <x:v>p. 2; Study 1 section</x:v>
      </x:c>
      <x:c r="V225" s="6" t="str">
        <x:v>ChatGPT-4o was prompted to assess and comment on the quality of the trace link with regards to two</x:v>
      </x:c>
      <x:c r="W225" s="6" t="str">
        <x:v>提示内容描述了任务目标，完整提示可在 GitHub 上获取，论文中只给出了部分描述。</x:v>
      </x:c>
      <x:c r="X225" s="6" t="str">
        <x:v>NA</x:v>
      </x:c>
    </x:row>
    <x:row r="226" ht="76" customHeight="1">
      <x:c r="A226" s="2" t="str">
        <x:v>S45</x:v>
      </x:c>
      <x:c r="B226" s="2" t="str">
        <x:v>S45-CF02</x:v>
      </x:c>
      <x:c r="C226" s="2" t="str">
        <x:v>S45-MU02</x:v>
      </x:c>
      <x:c r="D226" s="2" t="str">
        <x:v>S45-O02</x:v>
      </x:c>
      <x:c r="E226" s="2" t="str">
        <x:v>Context construction</x:v>
      </x:c>
      <x:c r="F226" s="2" t="str">
        <x:v>parameter knowledge in memory</x:v>
      </x:c>
      <x:c r="G226" s="2" t="str">
        <x:v>context_parameter_combos</x:v>
      </x:c>
      <x:c r="H226" s="6" t="str">
        <x:v>在评估前，ChatGPT-4o 被提供软件需求中参数值的可能组合及其解释，并存储在记忆中以供后续引用。</x:v>
      </x:c>
      <x:c r="I226" s="2" t="str">
        <x:v>Yes</x:v>
      </x:c>
      <x:c r="J226" s="2"/>
      <x:c r="K226" s="6" t="str">
        <x:v>Input and context construction</x:v>
      </x:c>
      <x:c r="L226" s="2" t="str">
        <x:v>Conversation or memory context</x:v>
      </x:c>
      <x:c r="M226" s="2" t="str">
        <x:v>Conversation or memory context</x:v>
      </x:c>
      <x:c r="N226" s="2" t="str">
        <x:v>NA</x:v>
      </x:c>
      <x:c r="O226" s="2" t="str">
        <x:v>NA</x:v>
      </x:c>
      <x:c r="P226" s="2" t="str">
        <x:v>NA</x:v>
      </x:c>
      <x:c r="Q226" s="2" t="str">
        <x:v>No</x:v>
      </x:c>
      <x:c r="R226" s="2" t="str">
        <x:v>No</x:v>
      </x:c>
      <x:c r="S226" s="2" t="str">
        <x:v>No</x:v>
      </x:c>
      <x:c r="T226" s="2" t="str">
        <x:v>NA</x:v>
      </x:c>
      <x:c r="U226" s="6" t="str">
        <x:v>p. 3; Study 2 section</x:v>
      </x:c>
      <x:c r="V226" s="6" t="str">
        <x:v>ChatGPT-4o was initially provided with possible combinations of parameter values and their interpretations from the software requirements to store in its memory.</x:v>
      </x:c>
      <x:c r="W226" s="6" t="str">
        <x:v>这是一种上下文构造策略，将领域知识预载入模型记忆，辅助后续的测试用例覆盖度评估。</x:v>
      </x:c>
      <x:c r="X226" s="6" t="str">
        <x:v>NA</x:v>
      </x:c>
    </x:row>
    <x:row r="227" ht="76" customHeight="1">
      <x:c r="A227" s="2" t="str">
        <x:v>S45</x:v>
      </x:c>
      <x:c r="B227" s="2" t="str">
        <x:v>S45-CF03</x:v>
      </x:c>
      <x:c r="C227" s="2" t="str">
        <x:v>S45-MU02</x:v>
      </x:c>
      <x:c r="D227" s="2" t="str">
        <x:v>S45-O02</x:v>
      </x:c>
      <x:c r="E227" s="2" t="str">
        <x:v>Prompting</x:v>
      </x:c>
      <x:c r="F227" s="2" t="str">
        <x:v>test case coverage assessment prompt</x:v>
      </x:c>
      <x:c r="G227" s="2" t="str">
        <x:v>prompt_test_coverage</x:v>
      </x:c>
      <x:c r="H227" s="6" t="str">
        <x:v>提示要求 ChatGPT-4o 评估测试用例是否完全覆盖软件需求，并建议缺失的测试用例。</x:v>
      </x:c>
      <x:c r="I227" s="2" t="str">
        <x:v>Yes</x:v>
      </x:c>
      <x:c r="J227" s="2"/>
      <x:c r="K227" s="6" t="str">
        <x:v>Prompt design</x:v>
      </x:c>
      <x:c r="L227" s="2" t="str">
        <x:v>Task-specific prompting</x:v>
      </x:c>
      <x:c r="M227" s="2" t="str">
        <x:v>Retrieved context</x:v>
      </x:c>
      <x:c r="N227" s="2" t="str">
        <x:v>Yes</x:v>
      </x:c>
      <x:c r="O227" s="2" t="str">
        <x:v>Partial description</x:v>
      </x:c>
      <x:c r="P227" s="2" t="str">
        <x:v>NR</x:v>
      </x:c>
      <x:c r="Q227" s="2" t="str">
        <x:v>No</x:v>
      </x:c>
      <x:c r="R227" s="2" t="str">
        <x:v>No</x:v>
      </x:c>
      <x:c r="S227" s="2" t="str">
        <x:v>No</x:v>
      </x:c>
      <x:c r="T227" s="2" t="str">
        <x:v>NA</x:v>
      </x:c>
      <x:c r="U227" s="6" t="str">
        <x:v>p. 3; Study 2 section</x:v>
      </x:c>
      <x:c r="V227" s="6" t="str">
        <x:v>prompted to assess whether or not the test cases entirely covered its linked software requirement and also suggest any missing cases</x:v>
      </x:c>
      <x:c r="W227" s="6" t="str">
        <x:v>提示描述了评估任务，完整提示可在 GitHub 上获取。</x:v>
      </x:c>
      <x:c r="X227" s="6" t="str">
        <x:v>NA</x:v>
      </x:c>
    </x:row>
    <x:row r="228" ht="76" customHeight="1">
      <x:c r="A228" s="2" t="str">
        <x:v>S45</x:v>
      </x:c>
      <x:c r="B228" s="2" t="str">
        <x:v>S45-CF04</x:v>
      </x:c>
      <x:c r="C228" s="2" t="str">
        <x:v>S45-MU03</x:v>
      </x:c>
      <x:c r="D228" s="2" t="str">
        <x:v>S45-O03</x:v>
      </x:c>
      <x:c r="E228" s="2" t="str">
        <x:v>Prompting</x:v>
      </x:c>
      <x:c r="F228" s="2" t="str">
        <x:v>trace link prediction prompt</x:v>
      </x:c>
      <x:c r="G228" s="2" t="str">
        <x:v>prompt_link_prediction</x:v>
      </x:c>
      <x:c r="H228" s="6" t="str">
        <x:v>提示请求 ChatGPT-4o 预测系统需求与软件需求之间的追溯链接，输入列表顺序随机化。</x:v>
      </x:c>
      <x:c r="I228" s="2" t="str">
        <x:v>Yes</x:v>
      </x:c>
      <x:c r="J228" s="2"/>
      <x:c r="K228" s="6" t="str">
        <x:v>Prompt design</x:v>
      </x:c>
      <x:c r="L228" s="2" t="str">
        <x:v>Task-specific prompting</x:v>
      </x:c>
      <x:c r="M228" s="2"/>
      <x:c r="N228" s="2" t="str">
        <x:v>Yes</x:v>
      </x:c>
      <x:c r="O228" s="2" t="str">
        <x:v>Partial description</x:v>
      </x:c>
      <x:c r="P228" s="2" t="str">
        <x:v>NR</x:v>
      </x:c>
      <x:c r="Q228" s="2" t="str">
        <x:v>No</x:v>
      </x:c>
      <x:c r="R228" s="2" t="str">
        <x:v>No</x:v>
      </x:c>
      <x:c r="S228" s="2" t="str">
        <x:v>No</x:v>
      </x:c>
      <x:c r="T228" s="2" t="str">
        <x:v>NA</x:v>
      </x:c>
      <x:c r="U228" s="6" t="str">
        <x:v>p. 4; Study 3 section</x:v>
      </x:c>
      <x:c r="V228" s="6" t="str">
        <x:v>The process involves providing a prompt and presenting SYSRS and SWRS in randomized order.</x:v>
      </x:c>
      <x:c r="W228" s="6" t="str">
        <x:v>提示指导模型进行链接预测，完整提示在 GitHub 上。</x:v>
      </x:c>
      <x:c r="X228" s="6" t="str">
        <x:v>NA</x:v>
      </x:c>
    </x:row>
    <x:row r="229" ht="76" customHeight="1">
      <x:c r="A229" s="2" t="str">
        <x:v>S45</x:v>
      </x:c>
      <x:c r="B229" s="2" t="str">
        <x:v>S45-CF05</x:v>
      </x:c>
      <x:c r="C229" s="2" t="str">
        <x:v>S45-MU04</x:v>
      </x:c>
      <x:c r="D229" s="2" t="str">
        <x:v>S45-O04</x:v>
      </x:c>
      <x:c r="E229" s="2" t="str">
        <x:v>Prompting</x:v>
      </x:c>
      <x:c r="F229" s="2" t="str">
        <x:v>ambiguity detection prompt</x:v>
      </x:c>
      <x:c r="G229" s="2" t="str">
        <x:v>prompt_ambiguity_detect</x:v>
      </x:c>
      <x:c r="H229" s="6" t="str">
        <x:v>提示指示 ChatGPT-4o 标记需求中的语言和内容歧义，包括词汇、语义、噪声、矛盾等类型。</x:v>
      </x:c>
      <x:c r="I229" s="2" t="str">
        <x:v>Yes</x:v>
      </x:c>
      <x:c r="J229" s="2"/>
      <x:c r="K229" s="6" t="str">
        <x:v>Prompt design</x:v>
      </x:c>
      <x:c r="L229" s="2" t="str">
        <x:v>Task-specific prompting</x:v>
      </x:c>
      <x:c r="M229" s="2"/>
      <x:c r="N229" s="2" t="str">
        <x:v>Yes</x:v>
      </x:c>
      <x:c r="O229" s="2" t="str">
        <x:v>Partial description</x:v>
      </x:c>
      <x:c r="P229" s="2" t="str">
        <x:v>NR</x:v>
      </x:c>
      <x:c r="Q229" s="2" t="str">
        <x:v>No</x:v>
      </x:c>
      <x:c r="R229" s="2" t="str">
        <x:v>No</x:v>
      </x:c>
      <x:c r="S229" s="2" t="str">
        <x:v>No</x:v>
      </x:c>
      <x:c r="T229" s="2" t="str">
        <x:v>NA</x:v>
      </x:c>
      <x:c r="U229" s="6" t="str">
        <x:v>p. 4; Study 4 section</x:v>
      </x:c>
      <x:c r="V229" s="6" t="str">
        <x:v>ChatGPT-4o was instructed to flag any linguistic or content-based ambiguities that may exist within the requirements.</x:v>
      </x:c>
      <x:c r="W229" s="6" t="str">
        <x:v>提示指定了歧义检测的范畴，完整提示在 GitHub 上。</x:v>
      </x:c>
      <x:c r="X229" s="6" t="str">
        <x:v>NA</x:v>
      </x:c>
    </x:row>
    <x:row r="230" ht="76" customHeight="1">
      <x:c r="A230" s="2" t="str">
        <x:v>S45</x:v>
      </x:c>
      <x:c r="B230" s="2" t="str">
        <x:v>S45-CF06</x:v>
      </x:c>
      <x:c r="C230" s="2" t="str">
        <x:v>S45-MU05</x:v>
      </x:c>
      <x:c r="D230" s="2" t="str">
        <x:v>S45-O05</x:v>
      </x:c>
      <x:c r="E230" s="2" t="str">
        <x:v>Prompting</x:v>
      </x:c>
      <x:c r="F230" s="2" t="str">
        <x:v>inconsistency detection prompt</x:v>
      </x:c>
      <x:c r="G230" s="2" t="str">
        <x:v>prompt_inconsistency_detect</x:v>
      </x:c>
      <x:c r="H230" s="6" t="str">
        <x:v>提示要求 ChatGPT-4o 判断软件需求是否充分详细描述系统需求，指出不一致并给出修订建议。</x:v>
      </x:c>
      <x:c r="I230" s="2" t="str">
        <x:v>Yes</x:v>
      </x:c>
      <x:c r="J230" s="2"/>
      <x:c r="K230" s="6" t="str">
        <x:v>Prompt design</x:v>
      </x:c>
      <x:c r="L230" s="2" t="str">
        <x:v>Task-specific prompting</x:v>
      </x:c>
      <x:c r="M230" s="2"/>
      <x:c r="N230" s="2" t="str">
        <x:v>Yes</x:v>
      </x:c>
      <x:c r="O230" s="2" t="str">
        <x:v>Full prompt reported</x:v>
      </x:c>
      <x:c r="P230" s="2" t="str">
        <x:v>NR</x:v>
      </x:c>
      <x:c r="Q230" s="2" t="str">
        <x:v>No</x:v>
      </x:c>
      <x:c r="R230" s="2" t="str">
        <x:v>No</x:v>
      </x:c>
      <x:c r="S230" s="2" t="str">
        <x:v>No</x:v>
      </x:c>
      <x:c r="T230" s="2" t="str">
        <x:v>NA</x:v>
      </x:c>
      <x:c r="U230" s="6" t="str">
        <x:v>p. 5; Study 5 section</x:v>
      </x:c>
      <x:c r="V230" s="6" t="str">
        <x:v>I will provide you a system and its linked software requirement. Can you tell me if the latter sufficiently details the former? if not, please explain the issue and suggest revisions.</x:v>
      </x:c>
      <x:c r="W230" s="6" t="str">
        <x:v>提示直接复制了论文中给出的完整提示词，因此标记为 Full prompt reported。</x:v>
      </x:c>
      <x:c r="X230" s="6" t="str">
        <x:v>NA</x:v>
      </x:c>
    </x:row>
    <x:row r="231" ht="76" customHeight="1">
      <x:c r="A231" s="2" t="str">
        <x:v>S46</x:v>
      </x:c>
      <x:c r="B231" s="2" t="str">
        <x:v>S46-CF01</x:v>
      </x:c>
      <x:c r="C231" s="2" t="str">
        <x:v>S46-MU01</x:v>
      </x:c>
      <x:c r="D231" s="2" t="str">
        <x:v>S46-O01</x:v>
      </x:c>
      <x:c r="E231" s="2" t="str">
        <x:v>Prompting</x:v>
      </x:c>
      <x:c r="F231" s="2" t="str">
        <x:v>Structured Prompt Design</x:v>
      </x:c>
      <x:c r="G231" s="2" t="str">
        <x:v>StructuredPrompting</x:v>
      </x:c>
      <x:c r="H231" s="6" t="str">
        <x:v>采用结构化提示模板，包含Prompt ID、Context、Input Data、Prompt和Expected Outcome五个部分，以增强软件制品的可追溯性。</x:v>
      </x:c>
      <x:c r="I231" s="2" t="str">
        <x:v>Yes</x:v>
      </x:c>
      <x:c r="J231" s="2"/>
      <x:c r="K231" s="6" t="str">
        <x:v>Prompt design</x:v>
      </x:c>
      <x:c r="L231" s="2" t="str">
        <x:v>Structured/template prompting</x:v>
      </x:c>
      <x:c r="M231" s="2" t="str">
        <x:v>Structured/template prompting</x:v>
      </x:c>
      <x:c r="N231" s="2" t="str">
        <x:v>Yes</x:v>
      </x:c>
      <x:c r="O231" s="2" t="str">
        <x:v>Full prompt reported</x:v>
      </x:c>
      <x:c r="P231" s="2" t="str">
        <x:v>NR</x:v>
      </x:c>
      <x:c r="Q231" s="2" t="str">
        <x:v>No</x:v>
      </x:c>
      <x:c r="R231" s="2" t="str">
        <x:v>No</x:v>
      </x:c>
      <x:c r="S231" s="2" t="str">
        <x:v>No</x:v>
      </x:c>
      <x:c r="T231" s="2" t="str">
        <x:v>NR</x:v>
      </x:c>
      <x:c r="U231" s="6" t="str">
        <x:v>p. 5; Structured Prompt Design section</x:v>
      </x:c>
      <x:c r="V23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1" s="6" t="str">
        <x:v>结构化提示设计是核心配置特征，所有LLM调用均采用此模板以提高可追溯性。</x:v>
      </x:c>
      <x:c r="X231" s="6" t="str">
        <x:v>Appendix提供了所有活动的完整结构化提示。; shared feature split by model use and operation</x:v>
      </x:c>
    </x:row>
    <x:row r="232" ht="76" customHeight="1">
      <x:c r="A232" s="2" t="str">
        <x:v>S46</x:v>
      </x:c>
      <x:c r="B232" s="2" t="str">
        <x:v>S46-CF02</x:v>
      </x:c>
      <x:c r="C232" s="2" t="str">
        <x:v>S46-MU02</x:v>
      </x:c>
      <x:c r="D232" s="2" t="str">
        <x:v>S46-O02</x:v>
      </x:c>
      <x:c r="E232" s="2" t="str">
        <x:v>Prompting</x:v>
      </x:c>
      <x:c r="F232" s="2" t="str">
        <x:v>Structured Prompt Design</x:v>
      </x:c>
      <x:c r="G232" s="2" t="str">
        <x:v>StructuredPrompting</x:v>
      </x:c>
      <x:c r="H232" s="6" t="str">
        <x:v>采用结构化提示模板，包含Prompt ID、Context、Input Data、Prompt和Expected Outcome五个部分，以增强软件制品的可追溯性。</x:v>
      </x:c>
      <x:c r="I232" s="2" t="str">
        <x:v>Yes</x:v>
      </x:c>
      <x:c r="J232" s="2"/>
      <x:c r="K232" s="6" t="str">
        <x:v>Prompt design</x:v>
      </x:c>
      <x:c r="L232" s="2" t="str">
        <x:v>Structured/template prompting</x:v>
      </x:c>
      <x:c r="M232" s="2" t="str">
        <x:v>Structured/template prompting</x:v>
      </x:c>
      <x:c r="N232" s="2" t="str">
        <x:v>Yes</x:v>
      </x:c>
      <x:c r="O232" s="2" t="str">
        <x:v>Full prompt reported</x:v>
      </x:c>
      <x:c r="P232" s="2" t="str">
        <x:v>NR</x:v>
      </x:c>
      <x:c r="Q232" s="2" t="str">
        <x:v>No</x:v>
      </x:c>
      <x:c r="R232" s="2" t="str">
        <x:v>No</x:v>
      </x:c>
      <x:c r="S232" s="2" t="str">
        <x:v>No</x:v>
      </x:c>
      <x:c r="T232" s="2" t="str">
        <x:v>NR</x:v>
      </x:c>
      <x:c r="U232" s="6" t="str">
        <x:v>p. 5; Structured Prompt Design section</x:v>
      </x:c>
      <x:c r="V23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2" s="6" t="str">
        <x:v>结构化提示设计是核心配置特征，所有LLM调用均采用此模板以提高可追溯性。</x:v>
      </x:c>
      <x:c r="X232" s="6" t="str">
        <x:v>Appendix提供了所有活动的完整结构化提示。; shared feature split by model use and operation</x:v>
      </x:c>
    </x:row>
    <x:row r="233" ht="76" customHeight="1">
      <x:c r="A233" s="2" t="str">
        <x:v>S46</x:v>
      </x:c>
      <x:c r="B233" s="2" t="str">
        <x:v>S46-CF03</x:v>
      </x:c>
      <x:c r="C233" s="2" t="str">
        <x:v>S46-MU03</x:v>
      </x:c>
      <x:c r="D233" s="2" t="str">
        <x:v>S46-O03</x:v>
      </x:c>
      <x:c r="E233" s="2" t="str">
        <x:v>Prompting</x:v>
      </x:c>
      <x:c r="F233" s="2" t="str">
        <x:v>Structured Prompt Design</x:v>
      </x:c>
      <x:c r="G233" s="2" t="str">
        <x:v>StructuredPrompting</x:v>
      </x:c>
      <x:c r="H233" s="6" t="str">
        <x:v>采用结构化提示模板，包含Prompt ID、Context、Input Data、Prompt和Expected Outcome五个部分，以增强软件制品的可追溯性。</x:v>
      </x:c>
      <x:c r="I233" s="2" t="str">
        <x:v>Yes</x:v>
      </x:c>
      <x:c r="J233" s="2"/>
      <x:c r="K233" s="6" t="str">
        <x:v>Prompt design</x:v>
      </x:c>
      <x:c r="L233" s="2" t="str">
        <x:v>Structured/template prompting</x:v>
      </x:c>
      <x:c r="M233" s="2" t="str">
        <x:v>Structured/template prompting</x:v>
      </x:c>
      <x:c r="N233" s="2" t="str">
        <x:v>Yes</x:v>
      </x:c>
      <x:c r="O233" s="2" t="str">
        <x:v>Full prompt reported</x:v>
      </x:c>
      <x:c r="P233" s="2" t="str">
        <x:v>NR</x:v>
      </x:c>
      <x:c r="Q233" s="2" t="str">
        <x:v>No</x:v>
      </x:c>
      <x:c r="R233" s="2" t="str">
        <x:v>No</x:v>
      </x:c>
      <x:c r="S233" s="2" t="str">
        <x:v>No</x:v>
      </x:c>
      <x:c r="T233" s="2" t="str">
        <x:v>NR</x:v>
      </x:c>
      <x:c r="U233" s="6" t="str">
        <x:v>p. 5; Structured Prompt Design section</x:v>
      </x:c>
      <x:c r="V23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3" s="6" t="str">
        <x:v>结构化提示设计是核心配置特征，所有LLM调用均采用此模板以提高可追溯性。</x:v>
      </x:c>
      <x:c r="X233" s="6" t="str">
        <x:v>Appendix提供了所有活动的完整结构化提示。; shared feature split by model use and operation</x:v>
      </x:c>
    </x:row>
    <x:row r="234" ht="76" customHeight="1">
      <x:c r="A234" s="2" t="str">
        <x:v>S46</x:v>
      </x:c>
      <x:c r="B234" s="2" t="str">
        <x:v>S46-CF04</x:v>
      </x:c>
      <x:c r="C234" s="2" t="str">
        <x:v>S46-MU04</x:v>
      </x:c>
      <x:c r="D234" s="2" t="str">
        <x:v>S46-O04</x:v>
      </x:c>
      <x:c r="E234" s="2" t="str">
        <x:v>Prompting</x:v>
      </x:c>
      <x:c r="F234" s="2" t="str">
        <x:v>Structured Prompt Design</x:v>
      </x:c>
      <x:c r="G234" s="2" t="str">
        <x:v>StructuredPrompting</x:v>
      </x:c>
      <x:c r="H234" s="6" t="str">
        <x:v>采用结构化提示模板，包含Prompt ID、Context、Input Data、Prompt和Expected Outcome五个部分，以增强软件制品的可追溯性。</x:v>
      </x:c>
      <x:c r="I234" s="2" t="str">
        <x:v>Yes</x:v>
      </x:c>
      <x:c r="J234" s="2"/>
      <x:c r="K234" s="6" t="str">
        <x:v>Prompt design</x:v>
      </x:c>
      <x:c r="L234" s="2" t="str">
        <x:v>Structured/template prompting</x:v>
      </x:c>
      <x:c r="M234" s="2" t="str">
        <x:v>Structured/template prompting</x:v>
      </x:c>
      <x:c r="N234" s="2" t="str">
        <x:v>Yes</x:v>
      </x:c>
      <x:c r="O234" s="2" t="str">
        <x:v>Full prompt reported</x:v>
      </x:c>
      <x:c r="P234" s="2" t="str">
        <x:v>NR</x:v>
      </x:c>
      <x:c r="Q234" s="2" t="str">
        <x:v>No</x:v>
      </x:c>
      <x:c r="R234" s="2" t="str">
        <x:v>No</x:v>
      </x:c>
      <x:c r="S234" s="2" t="str">
        <x:v>No</x:v>
      </x:c>
      <x:c r="T234" s="2" t="str">
        <x:v>NR</x:v>
      </x:c>
      <x:c r="U234" s="6" t="str">
        <x:v>p. 5; Structured Prompt Design section</x:v>
      </x:c>
      <x:c r="V23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4" s="6" t="str">
        <x:v>结构化提示设计是核心配置特征，所有LLM调用均采用此模板以提高可追溯性。</x:v>
      </x:c>
      <x:c r="X234" s="6" t="str">
        <x:v>Appendix提供了所有活动的完整结构化提示。; shared feature split by model use and operation</x:v>
      </x:c>
    </x:row>
    <x:row r="235" ht="76" customHeight="1">
      <x:c r="A235" s="2" t="str">
        <x:v>S46</x:v>
      </x:c>
      <x:c r="B235" s="2" t="str">
        <x:v>S46-CF05</x:v>
      </x:c>
      <x:c r="C235" s="2" t="str">
        <x:v>S46-MU05</x:v>
      </x:c>
      <x:c r="D235" s="2" t="str">
        <x:v>S46-O05</x:v>
      </x:c>
      <x:c r="E235" s="2" t="str">
        <x:v>Prompting</x:v>
      </x:c>
      <x:c r="F235" s="2" t="str">
        <x:v>Structured Prompt Design</x:v>
      </x:c>
      <x:c r="G235" s="2" t="str">
        <x:v>StructuredPrompting</x:v>
      </x:c>
      <x:c r="H235" s="6" t="str">
        <x:v>采用结构化提示模板，包含Prompt ID、Context、Input Data、Prompt和Expected Outcome五个部分，以增强软件制品的可追溯性。</x:v>
      </x:c>
      <x:c r="I235" s="2" t="str">
        <x:v>Yes</x:v>
      </x:c>
      <x:c r="J235" s="2"/>
      <x:c r="K235" s="6" t="str">
        <x:v>Prompt design</x:v>
      </x:c>
      <x:c r="L235" s="2" t="str">
        <x:v>Structured/template prompting</x:v>
      </x:c>
      <x:c r="M235" s="2" t="str">
        <x:v>Structured/template prompting</x:v>
      </x:c>
      <x:c r="N235" s="2" t="str">
        <x:v>Yes</x:v>
      </x:c>
      <x:c r="O235" s="2" t="str">
        <x:v>Full prompt reported</x:v>
      </x:c>
      <x:c r="P235" s="2" t="str">
        <x:v>NR</x:v>
      </x:c>
      <x:c r="Q235" s="2" t="str">
        <x:v>No</x:v>
      </x:c>
      <x:c r="R235" s="2" t="str">
        <x:v>No</x:v>
      </x:c>
      <x:c r="S235" s="2" t="str">
        <x:v>No</x:v>
      </x:c>
      <x:c r="T235" s="2" t="str">
        <x:v>NR</x:v>
      </x:c>
      <x:c r="U235" s="6" t="str">
        <x:v>p. 5; Structured Prompt Design section</x:v>
      </x:c>
      <x:c r="V23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5" s="6" t="str">
        <x:v>结构化提示设计是核心配置特征，所有LLM调用均采用此模板以提高可追溯性。</x:v>
      </x:c>
      <x:c r="X235" s="6" t="str">
        <x:v>Appendix提供了所有活动的完整结构化提示。; shared feature split by model use and operation</x:v>
      </x:c>
    </x:row>
    <x:row r="236" ht="76" customHeight="1">
      <x:c r="A236" s="2" t="str">
        <x:v>S46</x:v>
      </x:c>
      <x:c r="B236" s="2" t="str">
        <x:v>S46-CF06</x:v>
      </x:c>
      <x:c r="C236" s="2" t="str">
        <x:v>S46-MU06</x:v>
      </x:c>
      <x:c r="D236" s="2" t="str">
        <x:v>S46-O06</x:v>
      </x:c>
      <x:c r="E236" s="2" t="str">
        <x:v>Prompting</x:v>
      </x:c>
      <x:c r="F236" s="2" t="str">
        <x:v>Structured Prompt Design</x:v>
      </x:c>
      <x:c r="G236" s="2" t="str">
        <x:v>StructuredPrompting</x:v>
      </x:c>
      <x:c r="H236" s="6" t="str">
        <x:v>采用结构化提示模板，包含Prompt ID、Context、Input Data、Prompt和Expected Outcome五个部分，以增强软件制品的可追溯性。</x:v>
      </x:c>
      <x:c r="I236" s="2" t="str">
        <x:v>Yes</x:v>
      </x:c>
      <x:c r="J236" s="2"/>
      <x:c r="K236" s="6" t="str">
        <x:v>Prompt design</x:v>
      </x:c>
      <x:c r="L236" s="2" t="str">
        <x:v>Structured/template prompting</x:v>
      </x:c>
      <x:c r="M236" s="2" t="str">
        <x:v>Structured/template prompting</x:v>
      </x:c>
      <x:c r="N236" s="2" t="str">
        <x:v>Yes</x:v>
      </x:c>
      <x:c r="O236" s="2" t="str">
        <x:v>Full prompt reported</x:v>
      </x:c>
      <x:c r="P236" s="2" t="str">
        <x:v>NR</x:v>
      </x:c>
      <x:c r="Q236" s="2" t="str">
        <x:v>No</x:v>
      </x:c>
      <x:c r="R236" s="2" t="str">
        <x:v>No</x:v>
      </x:c>
      <x:c r="S236" s="2" t="str">
        <x:v>No</x:v>
      </x:c>
      <x:c r="T236" s="2" t="str">
        <x:v>NR</x:v>
      </x:c>
      <x:c r="U236" s="6" t="str">
        <x:v>p. 5; Structured Prompt Design section</x:v>
      </x:c>
      <x:c r="V23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6" s="6" t="str">
        <x:v>结构化提示设计是核心配置特征，所有LLM调用均采用此模板以提高可追溯性。</x:v>
      </x:c>
      <x:c r="X236" s="6" t="str">
        <x:v>Appendix提供了所有活动的完整结构化提示。; shared feature split by model use and operation</x:v>
      </x:c>
    </x:row>
    <x:row r="237" ht="76" customHeight="1">
      <x:c r="A237" s="2" t="str">
        <x:v>S46</x:v>
      </x:c>
      <x:c r="B237" s="2" t="str">
        <x:v>S46-CF07</x:v>
      </x:c>
      <x:c r="C237" s="2" t="str">
        <x:v>S46-MU07</x:v>
      </x:c>
      <x:c r="D237" s="2" t="str">
        <x:v>S46-O07</x:v>
      </x:c>
      <x:c r="E237" s="2" t="str">
        <x:v>Prompting</x:v>
      </x:c>
      <x:c r="F237" s="2" t="str">
        <x:v>Structured Prompt Design</x:v>
      </x:c>
      <x:c r="G237" s="2" t="str">
        <x:v>StructuredPrompting</x:v>
      </x:c>
      <x:c r="H237" s="6" t="str">
        <x:v>采用结构化提示模板，包含Prompt ID、Context、Input Data、Prompt和Expected Outcome五个部分，以增强软件制品的可追溯性。</x:v>
      </x:c>
      <x:c r="I237" s="2" t="str">
        <x:v>Yes</x:v>
      </x:c>
      <x:c r="J237" s="2"/>
      <x:c r="K237" s="6" t="str">
        <x:v>Prompt design</x:v>
      </x:c>
      <x:c r="L237" s="2" t="str">
        <x:v>Structured/template prompting</x:v>
      </x:c>
      <x:c r="M237" s="2" t="str">
        <x:v>Structured/template prompting</x:v>
      </x:c>
      <x:c r="N237" s="2" t="str">
        <x:v>Yes</x:v>
      </x:c>
      <x:c r="O237" s="2" t="str">
        <x:v>Full prompt reported</x:v>
      </x:c>
      <x:c r="P237" s="2" t="str">
        <x:v>NR</x:v>
      </x:c>
      <x:c r="Q237" s="2" t="str">
        <x:v>No</x:v>
      </x:c>
      <x:c r="R237" s="2" t="str">
        <x:v>No</x:v>
      </x:c>
      <x:c r="S237" s="2" t="str">
        <x:v>No</x:v>
      </x:c>
      <x:c r="T237" s="2" t="str">
        <x:v>NR</x:v>
      </x:c>
      <x:c r="U237" s="6" t="str">
        <x:v>p. 5; Structured Prompt Design section</x:v>
      </x:c>
      <x:c r="V23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7" s="6" t="str">
        <x:v>结构化提示设计是核心配置特征，所有LLM调用均采用此模板以提高可追溯性。</x:v>
      </x:c>
      <x:c r="X237" s="6" t="str">
        <x:v>Appendix提供了所有活动的完整结构化提示。; shared feature split by model use and operation</x:v>
      </x:c>
    </x:row>
    <x:row r="238" ht="76" customHeight="1">
      <x:c r="A238" s="2" t="str">
        <x:v>S46</x:v>
      </x:c>
      <x:c r="B238" s="2" t="str">
        <x:v>S46-CF08</x:v>
      </x:c>
      <x:c r="C238" s="2" t="str">
        <x:v>S46-MU08</x:v>
      </x:c>
      <x:c r="D238" s="2" t="str">
        <x:v>S46-O08</x:v>
      </x:c>
      <x:c r="E238" s="2" t="str">
        <x:v>Prompting</x:v>
      </x:c>
      <x:c r="F238" s="2" t="str">
        <x:v>Structured Prompt Design</x:v>
      </x:c>
      <x:c r="G238" s="2" t="str">
        <x:v>StructuredPrompting</x:v>
      </x:c>
      <x:c r="H238" s="6" t="str">
        <x:v>采用结构化提示模板，包含Prompt ID、Context、Input Data、Prompt和Expected Outcome五个部分，以增强软件制品的可追溯性。</x:v>
      </x:c>
      <x:c r="I238" s="2" t="str">
        <x:v>Yes</x:v>
      </x:c>
      <x:c r="J238" s="2"/>
      <x:c r="K238" s="6" t="str">
        <x:v>Prompt design</x:v>
      </x:c>
      <x:c r="L238" s="2" t="str">
        <x:v>Structured/template prompting</x:v>
      </x:c>
      <x:c r="M238" s="2" t="str">
        <x:v>Structured/template prompting</x:v>
      </x:c>
      <x:c r="N238" s="2" t="str">
        <x:v>Yes</x:v>
      </x:c>
      <x:c r="O238" s="2" t="str">
        <x:v>Full prompt reported</x:v>
      </x:c>
      <x:c r="P238" s="2" t="str">
        <x:v>NR</x:v>
      </x:c>
      <x:c r="Q238" s="2" t="str">
        <x:v>No</x:v>
      </x:c>
      <x:c r="R238" s="2" t="str">
        <x:v>No</x:v>
      </x:c>
      <x:c r="S238" s="2" t="str">
        <x:v>No</x:v>
      </x:c>
      <x:c r="T238" s="2" t="str">
        <x:v>NR</x:v>
      </x:c>
      <x:c r="U238" s="6" t="str">
        <x:v>p. 5; Structured Prompt Design section</x:v>
      </x:c>
      <x:c r="V23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8" s="6" t="str">
        <x:v>结构化提示设计是核心配置特征，所有LLM调用均采用此模板以提高可追溯性。</x:v>
      </x:c>
      <x:c r="X238" s="6" t="str">
        <x:v>Appendix提供了所有活动的完整结构化提示。; shared feature split by model use and operation</x:v>
      </x:c>
    </x:row>
    <x:row r="239" ht="76" customHeight="1">
      <x:c r="A239" s="2" t="str">
        <x:v>S46</x:v>
      </x:c>
      <x:c r="B239" s="2" t="str">
        <x:v>S46-CF09</x:v>
      </x:c>
      <x:c r="C239" s="2" t="str">
        <x:v>S46-MU09</x:v>
      </x:c>
      <x:c r="D239" s="2" t="str">
        <x:v>S46-O09</x:v>
      </x:c>
      <x:c r="E239" s="2" t="str">
        <x:v>Prompting</x:v>
      </x:c>
      <x:c r="F239" s="2" t="str">
        <x:v>Structured Prompt Design</x:v>
      </x:c>
      <x:c r="G239" s="2" t="str">
        <x:v>StructuredPrompting</x:v>
      </x:c>
      <x:c r="H239" s="6" t="str">
        <x:v>采用结构化提示模板，包含Prompt ID、Context、Input Data、Prompt和Expected Outcome五个部分，以增强软件制品的可追溯性。</x:v>
      </x:c>
      <x:c r="I239" s="2" t="str">
        <x:v>Yes</x:v>
      </x:c>
      <x:c r="J239" s="2"/>
      <x:c r="K239" s="6" t="str">
        <x:v>Prompt design</x:v>
      </x:c>
      <x:c r="L239" s="2" t="str">
        <x:v>Structured/template prompting</x:v>
      </x:c>
      <x:c r="M239" s="2" t="str">
        <x:v>Structured/template prompting</x:v>
      </x:c>
      <x:c r="N239" s="2" t="str">
        <x:v>Yes</x:v>
      </x:c>
      <x:c r="O239" s="2" t="str">
        <x:v>Full prompt reported</x:v>
      </x:c>
      <x:c r="P239" s="2" t="str">
        <x:v>NR</x:v>
      </x:c>
      <x:c r="Q239" s="2" t="str">
        <x:v>No</x:v>
      </x:c>
      <x:c r="R239" s="2" t="str">
        <x:v>No</x:v>
      </x:c>
      <x:c r="S239" s="2" t="str">
        <x:v>No</x:v>
      </x:c>
      <x:c r="T239" s="2" t="str">
        <x:v>NR</x:v>
      </x:c>
      <x:c r="U239" s="6" t="str">
        <x:v>p. 5; Structured Prompt Design section</x:v>
      </x:c>
      <x:c r="V23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39" s="6" t="str">
        <x:v>结构化提示设计是核心配置特征，所有LLM调用均采用此模板以提高可追溯性。</x:v>
      </x:c>
      <x:c r="X239" s="6" t="str">
        <x:v>Appendix提供了所有活动的完整结构化提示。; shared feature split by model use and operation</x:v>
      </x:c>
    </x:row>
    <x:row r="240" ht="76" customHeight="1">
      <x:c r="A240" s="2" t="str">
        <x:v>S46</x:v>
      </x:c>
      <x:c r="B240" s="2" t="str">
        <x:v>S46-CF10</x:v>
      </x:c>
      <x:c r="C240" s="2" t="str">
        <x:v>S46-MU10</x:v>
      </x:c>
      <x:c r="D240" s="2" t="str">
        <x:v>S46-O10</x:v>
      </x:c>
      <x:c r="E240" s="2" t="str">
        <x:v>Prompting</x:v>
      </x:c>
      <x:c r="F240" s="2" t="str">
        <x:v>Structured Prompt Design</x:v>
      </x:c>
      <x:c r="G240" s="2" t="str">
        <x:v>StructuredPrompting</x:v>
      </x:c>
      <x:c r="H240" s="6" t="str">
        <x:v>采用结构化提示模板，包含Prompt ID、Context、Input Data、Prompt和Expected Outcome五个部分，以增强软件制品的可追溯性。</x:v>
      </x:c>
      <x:c r="I240" s="2" t="str">
        <x:v>Yes</x:v>
      </x:c>
      <x:c r="J240" s="2"/>
      <x:c r="K240" s="6" t="str">
        <x:v>Prompt design</x:v>
      </x:c>
      <x:c r="L240" s="2" t="str">
        <x:v>Structured/template prompting</x:v>
      </x:c>
      <x:c r="M240" s="2" t="str">
        <x:v>Structured/template prompting</x:v>
      </x:c>
      <x:c r="N240" s="2" t="str">
        <x:v>Yes</x:v>
      </x:c>
      <x:c r="O240" s="2" t="str">
        <x:v>Full prompt reported</x:v>
      </x:c>
      <x:c r="P240" s="2" t="str">
        <x:v>NR</x:v>
      </x:c>
      <x:c r="Q240" s="2" t="str">
        <x:v>No</x:v>
      </x:c>
      <x:c r="R240" s="2" t="str">
        <x:v>No</x:v>
      </x:c>
      <x:c r="S240" s="2" t="str">
        <x:v>No</x:v>
      </x:c>
      <x:c r="T240" s="2" t="str">
        <x:v>NR</x:v>
      </x:c>
      <x:c r="U240" s="6" t="str">
        <x:v>p. 5; Structured Prompt Design section</x:v>
      </x:c>
      <x:c r="V24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0" s="6" t="str">
        <x:v>结构化提示设计是核心配置特征，所有LLM调用均采用此模板以提高可追溯性。</x:v>
      </x:c>
      <x:c r="X240" s="6" t="str">
        <x:v>Appendix提供了所有活动的完整结构化提示。; shared feature split by model use and operation</x:v>
      </x:c>
    </x:row>
    <x:row r="241" ht="76" customHeight="1">
      <x:c r="A241" s="2" t="str">
        <x:v>S46</x:v>
      </x:c>
      <x:c r="B241" s="2" t="str">
        <x:v>S46-CF11</x:v>
      </x:c>
      <x:c r="C241" s="2" t="str">
        <x:v>S46-MU11</x:v>
      </x:c>
      <x:c r="D241" s="2" t="str">
        <x:v>S46-O01</x:v>
      </x:c>
      <x:c r="E241" s="2" t="str">
        <x:v>Prompting</x:v>
      </x:c>
      <x:c r="F241" s="2" t="str">
        <x:v>Structured Prompt Design</x:v>
      </x:c>
      <x:c r="G241" s="2" t="str">
        <x:v>StructuredPrompting</x:v>
      </x:c>
      <x:c r="H241" s="6" t="str">
        <x:v>采用结构化提示模板，包含Prompt ID、Context、Input Data、Prompt和Expected Outcome五个部分，以增强软件制品的可追溯性。</x:v>
      </x:c>
      <x:c r="I241" s="2" t="str">
        <x:v>Yes</x:v>
      </x:c>
      <x:c r="J241" s="2"/>
      <x:c r="K241" s="6" t="str">
        <x:v>Prompt design</x:v>
      </x:c>
      <x:c r="L241" s="2" t="str">
        <x:v>Structured/template prompting</x:v>
      </x:c>
      <x:c r="M241" s="2" t="str">
        <x:v>Structured/template prompting</x:v>
      </x:c>
      <x:c r="N241" s="2" t="str">
        <x:v>Yes</x:v>
      </x:c>
      <x:c r="O241" s="2" t="str">
        <x:v>Full prompt reported</x:v>
      </x:c>
      <x:c r="P241" s="2" t="str">
        <x:v>NR</x:v>
      </x:c>
      <x:c r="Q241" s="2" t="str">
        <x:v>No</x:v>
      </x:c>
      <x:c r="R241" s="2" t="str">
        <x:v>No</x:v>
      </x:c>
      <x:c r="S241" s="2" t="str">
        <x:v>No</x:v>
      </x:c>
      <x:c r="T241" s="2" t="str">
        <x:v>NR</x:v>
      </x:c>
      <x:c r="U241" s="6" t="str">
        <x:v>p. 5; Structured Prompt Design section</x:v>
      </x:c>
      <x:c r="V24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1" s="6" t="str">
        <x:v>结构化提示设计是核心配置特征，所有LLM调用均采用此模板以提高可追溯性。</x:v>
      </x:c>
      <x:c r="X241" s="6" t="str">
        <x:v>Appendix提供了所有活动的完整结构化提示。; shared feature split by model use and operation</x:v>
      </x:c>
    </x:row>
    <x:row r="242" ht="76" customHeight="1">
      <x:c r="A242" s="2" t="str">
        <x:v>S46</x:v>
      </x:c>
      <x:c r="B242" s="2" t="str">
        <x:v>S46-CF12</x:v>
      </x:c>
      <x:c r="C242" s="2" t="str">
        <x:v>S46-MU12</x:v>
      </x:c>
      <x:c r="D242" s="2" t="str">
        <x:v>S46-O02</x:v>
      </x:c>
      <x:c r="E242" s="2" t="str">
        <x:v>Prompting</x:v>
      </x:c>
      <x:c r="F242" s="2" t="str">
        <x:v>Structured Prompt Design</x:v>
      </x:c>
      <x:c r="G242" s="2" t="str">
        <x:v>StructuredPrompting</x:v>
      </x:c>
      <x:c r="H242" s="6" t="str">
        <x:v>采用结构化提示模板，包含Prompt ID、Context、Input Data、Prompt和Expected Outcome五个部分，以增强软件制品的可追溯性。</x:v>
      </x:c>
      <x:c r="I242" s="2" t="str">
        <x:v>Yes</x:v>
      </x:c>
      <x:c r="J242" s="2"/>
      <x:c r="K242" s="6" t="str">
        <x:v>Prompt design</x:v>
      </x:c>
      <x:c r="L242" s="2" t="str">
        <x:v>Structured/template prompting</x:v>
      </x:c>
      <x:c r="M242" s="2" t="str">
        <x:v>Structured/template prompting</x:v>
      </x:c>
      <x:c r="N242" s="2" t="str">
        <x:v>Yes</x:v>
      </x:c>
      <x:c r="O242" s="2" t="str">
        <x:v>Full prompt reported</x:v>
      </x:c>
      <x:c r="P242" s="2" t="str">
        <x:v>NR</x:v>
      </x:c>
      <x:c r="Q242" s="2" t="str">
        <x:v>No</x:v>
      </x:c>
      <x:c r="R242" s="2" t="str">
        <x:v>No</x:v>
      </x:c>
      <x:c r="S242" s="2" t="str">
        <x:v>No</x:v>
      </x:c>
      <x:c r="T242" s="2" t="str">
        <x:v>NR</x:v>
      </x:c>
      <x:c r="U242" s="6" t="str">
        <x:v>p. 5; Structured Prompt Design section</x:v>
      </x:c>
      <x:c r="V24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2" s="6" t="str">
        <x:v>结构化提示设计是核心配置特征，所有LLM调用均采用此模板以提高可追溯性。</x:v>
      </x:c>
      <x:c r="X242" s="6" t="str">
        <x:v>Appendix提供了所有活动的完整结构化提示。; shared feature split by model use and operation</x:v>
      </x:c>
    </x:row>
    <x:row r="243" ht="76" customHeight="1">
      <x:c r="A243" s="2" t="str">
        <x:v>S46</x:v>
      </x:c>
      <x:c r="B243" s="2" t="str">
        <x:v>S46-CF13</x:v>
      </x:c>
      <x:c r="C243" s="2" t="str">
        <x:v>S46-MU13</x:v>
      </x:c>
      <x:c r="D243" s="2" t="str">
        <x:v>S46-O03</x:v>
      </x:c>
      <x:c r="E243" s="2" t="str">
        <x:v>Prompting</x:v>
      </x:c>
      <x:c r="F243" s="2" t="str">
        <x:v>Structured Prompt Design</x:v>
      </x:c>
      <x:c r="G243" s="2" t="str">
        <x:v>StructuredPrompting</x:v>
      </x:c>
      <x:c r="H243" s="6" t="str">
        <x:v>采用结构化提示模板，包含Prompt ID、Context、Input Data、Prompt和Expected Outcome五个部分，以增强软件制品的可追溯性。</x:v>
      </x:c>
      <x:c r="I243" s="2" t="str">
        <x:v>Yes</x:v>
      </x:c>
      <x:c r="J243" s="2"/>
      <x:c r="K243" s="6" t="str">
        <x:v>Prompt design</x:v>
      </x:c>
      <x:c r="L243" s="2" t="str">
        <x:v>Structured/template prompting</x:v>
      </x:c>
      <x:c r="M243" s="2" t="str">
        <x:v>Structured/template prompting</x:v>
      </x:c>
      <x:c r="N243" s="2" t="str">
        <x:v>Yes</x:v>
      </x:c>
      <x:c r="O243" s="2" t="str">
        <x:v>Full prompt reported</x:v>
      </x:c>
      <x:c r="P243" s="2" t="str">
        <x:v>NR</x:v>
      </x:c>
      <x:c r="Q243" s="2" t="str">
        <x:v>No</x:v>
      </x:c>
      <x:c r="R243" s="2" t="str">
        <x:v>No</x:v>
      </x:c>
      <x:c r="S243" s="2" t="str">
        <x:v>No</x:v>
      </x:c>
      <x:c r="T243" s="2" t="str">
        <x:v>NR</x:v>
      </x:c>
      <x:c r="U243" s="6" t="str">
        <x:v>p. 5; Structured Prompt Design section</x:v>
      </x:c>
      <x:c r="V24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3" s="6" t="str">
        <x:v>结构化提示设计是核心配置特征，所有LLM调用均采用此模板以提高可追溯性。</x:v>
      </x:c>
      <x:c r="X243" s="6" t="str">
        <x:v>Appendix提供了所有活动的完整结构化提示。; shared feature split by model use and operation</x:v>
      </x:c>
    </x:row>
    <x:row r="244" ht="76" customHeight="1">
      <x:c r="A244" s="2" t="str">
        <x:v>S46</x:v>
      </x:c>
      <x:c r="B244" s="2" t="str">
        <x:v>S46-CF14</x:v>
      </x:c>
      <x:c r="C244" s="2" t="str">
        <x:v>S46-MU14</x:v>
      </x:c>
      <x:c r="D244" s="2" t="str">
        <x:v>S46-O04</x:v>
      </x:c>
      <x:c r="E244" s="2" t="str">
        <x:v>Prompting</x:v>
      </x:c>
      <x:c r="F244" s="2" t="str">
        <x:v>Structured Prompt Design</x:v>
      </x:c>
      <x:c r="G244" s="2" t="str">
        <x:v>StructuredPrompting</x:v>
      </x:c>
      <x:c r="H244" s="6" t="str">
        <x:v>采用结构化提示模板，包含Prompt ID、Context、Input Data、Prompt和Expected Outcome五个部分，以增强软件制品的可追溯性。</x:v>
      </x:c>
      <x:c r="I244" s="2" t="str">
        <x:v>Yes</x:v>
      </x:c>
      <x:c r="J244" s="2"/>
      <x:c r="K244" s="6" t="str">
        <x:v>Prompt design</x:v>
      </x:c>
      <x:c r="L244" s="2" t="str">
        <x:v>Structured/template prompting</x:v>
      </x:c>
      <x:c r="M244" s="2" t="str">
        <x:v>Structured/template prompting</x:v>
      </x:c>
      <x:c r="N244" s="2" t="str">
        <x:v>Yes</x:v>
      </x:c>
      <x:c r="O244" s="2" t="str">
        <x:v>Full prompt reported</x:v>
      </x:c>
      <x:c r="P244" s="2" t="str">
        <x:v>NR</x:v>
      </x:c>
      <x:c r="Q244" s="2" t="str">
        <x:v>No</x:v>
      </x:c>
      <x:c r="R244" s="2" t="str">
        <x:v>No</x:v>
      </x:c>
      <x:c r="S244" s="2" t="str">
        <x:v>No</x:v>
      </x:c>
      <x:c r="T244" s="2" t="str">
        <x:v>NR</x:v>
      </x:c>
      <x:c r="U244" s="6" t="str">
        <x:v>p. 5; Structured Prompt Design section</x:v>
      </x:c>
      <x:c r="V24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4" s="6" t="str">
        <x:v>结构化提示设计是核心配置特征，所有LLM调用均采用此模板以提高可追溯性。</x:v>
      </x:c>
      <x:c r="X244" s="6" t="str">
        <x:v>Appendix提供了所有活动的完整结构化提示。; shared feature split by model use and operation</x:v>
      </x:c>
    </x:row>
    <x:row r="245" ht="76" customHeight="1">
      <x:c r="A245" s="2" t="str">
        <x:v>S46</x:v>
      </x:c>
      <x:c r="B245" s="2" t="str">
        <x:v>S46-CF15</x:v>
      </x:c>
      <x:c r="C245" s="2" t="str">
        <x:v>S46-MU15</x:v>
      </x:c>
      <x:c r="D245" s="2" t="str">
        <x:v>S46-O05</x:v>
      </x:c>
      <x:c r="E245" s="2" t="str">
        <x:v>Prompting</x:v>
      </x:c>
      <x:c r="F245" s="2" t="str">
        <x:v>Structured Prompt Design</x:v>
      </x:c>
      <x:c r="G245" s="2" t="str">
        <x:v>StructuredPrompting</x:v>
      </x:c>
      <x:c r="H245" s="6" t="str">
        <x:v>采用结构化提示模板，包含Prompt ID、Context、Input Data、Prompt和Expected Outcome五个部分，以增强软件制品的可追溯性。</x:v>
      </x:c>
      <x:c r="I245" s="2" t="str">
        <x:v>Yes</x:v>
      </x:c>
      <x:c r="J245" s="2"/>
      <x:c r="K245" s="6" t="str">
        <x:v>Prompt design</x:v>
      </x:c>
      <x:c r="L245" s="2" t="str">
        <x:v>Structured/template prompting</x:v>
      </x:c>
      <x:c r="M245" s="2" t="str">
        <x:v>Structured/template prompting</x:v>
      </x:c>
      <x:c r="N245" s="2" t="str">
        <x:v>Yes</x:v>
      </x:c>
      <x:c r="O245" s="2" t="str">
        <x:v>Full prompt reported</x:v>
      </x:c>
      <x:c r="P245" s="2" t="str">
        <x:v>NR</x:v>
      </x:c>
      <x:c r="Q245" s="2" t="str">
        <x:v>No</x:v>
      </x:c>
      <x:c r="R245" s="2" t="str">
        <x:v>No</x:v>
      </x:c>
      <x:c r="S245" s="2" t="str">
        <x:v>No</x:v>
      </x:c>
      <x:c r="T245" s="2" t="str">
        <x:v>NR</x:v>
      </x:c>
      <x:c r="U245" s="6" t="str">
        <x:v>p. 5; Structured Prompt Design section</x:v>
      </x:c>
      <x:c r="V24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5" s="6" t="str">
        <x:v>结构化提示设计是核心配置特征，所有LLM调用均采用此模板以提高可追溯性。</x:v>
      </x:c>
      <x:c r="X245" s="6" t="str">
        <x:v>Appendix提供了所有活动的完整结构化提示。; shared feature split by model use and operation</x:v>
      </x:c>
    </x:row>
    <x:row r="246" ht="76" customHeight="1">
      <x:c r="A246" s="2" t="str">
        <x:v>S46</x:v>
      </x:c>
      <x:c r="B246" s="2" t="str">
        <x:v>S46-CF16</x:v>
      </x:c>
      <x:c r="C246" s="2" t="str">
        <x:v>S46-MU16</x:v>
      </x:c>
      <x:c r="D246" s="2" t="str">
        <x:v>S46-O06</x:v>
      </x:c>
      <x:c r="E246" s="2" t="str">
        <x:v>Prompting</x:v>
      </x:c>
      <x:c r="F246" s="2" t="str">
        <x:v>Structured Prompt Design</x:v>
      </x:c>
      <x:c r="G246" s="2" t="str">
        <x:v>StructuredPrompting</x:v>
      </x:c>
      <x:c r="H246" s="6" t="str">
        <x:v>采用结构化提示模板，包含Prompt ID、Context、Input Data、Prompt和Expected Outcome五个部分，以增强软件制品的可追溯性。</x:v>
      </x:c>
      <x:c r="I246" s="2" t="str">
        <x:v>Yes</x:v>
      </x:c>
      <x:c r="J246" s="2"/>
      <x:c r="K246" s="6" t="str">
        <x:v>Prompt design</x:v>
      </x:c>
      <x:c r="L246" s="2" t="str">
        <x:v>Structured/template prompting</x:v>
      </x:c>
      <x:c r="M246" s="2" t="str">
        <x:v>Structured/template prompting</x:v>
      </x:c>
      <x:c r="N246" s="2" t="str">
        <x:v>Yes</x:v>
      </x:c>
      <x:c r="O246" s="2" t="str">
        <x:v>Full prompt reported</x:v>
      </x:c>
      <x:c r="P246" s="2" t="str">
        <x:v>NR</x:v>
      </x:c>
      <x:c r="Q246" s="2" t="str">
        <x:v>No</x:v>
      </x:c>
      <x:c r="R246" s="2" t="str">
        <x:v>No</x:v>
      </x:c>
      <x:c r="S246" s="2" t="str">
        <x:v>No</x:v>
      </x:c>
      <x:c r="T246" s="2" t="str">
        <x:v>NR</x:v>
      </x:c>
      <x:c r="U246" s="6" t="str">
        <x:v>p. 5; Structured Prompt Design section</x:v>
      </x:c>
      <x:c r="V24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6" s="6" t="str">
        <x:v>结构化提示设计是核心配置特征，所有LLM调用均采用此模板以提高可追溯性。</x:v>
      </x:c>
      <x:c r="X246" s="6" t="str">
        <x:v>Appendix提供了所有活动的完整结构化提示。; shared feature split by model use and operation</x:v>
      </x:c>
    </x:row>
    <x:row r="247" ht="76" customHeight="1">
      <x:c r="A247" s="2" t="str">
        <x:v>S46</x:v>
      </x:c>
      <x:c r="B247" s="2" t="str">
        <x:v>S46-CF17</x:v>
      </x:c>
      <x:c r="C247" s="2" t="str">
        <x:v>S46-MU17</x:v>
      </x:c>
      <x:c r="D247" s="2" t="str">
        <x:v>S46-O07</x:v>
      </x:c>
      <x:c r="E247" s="2" t="str">
        <x:v>Prompting</x:v>
      </x:c>
      <x:c r="F247" s="2" t="str">
        <x:v>Structured Prompt Design</x:v>
      </x:c>
      <x:c r="G247" s="2" t="str">
        <x:v>StructuredPrompting</x:v>
      </x:c>
      <x:c r="H247" s="6" t="str">
        <x:v>采用结构化提示模板，包含Prompt ID、Context、Input Data、Prompt和Expected Outcome五个部分，以增强软件制品的可追溯性。</x:v>
      </x:c>
      <x:c r="I247" s="2" t="str">
        <x:v>Yes</x:v>
      </x:c>
      <x:c r="J247" s="2"/>
      <x:c r="K247" s="6" t="str">
        <x:v>Prompt design</x:v>
      </x:c>
      <x:c r="L247" s="2" t="str">
        <x:v>Structured/template prompting</x:v>
      </x:c>
      <x:c r="M247" s="2" t="str">
        <x:v>Structured/template prompting</x:v>
      </x:c>
      <x:c r="N247" s="2" t="str">
        <x:v>Yes</x:v>
      </x:c>
      <x:c r="O247" s="2" t="str">
        <x:v>Full prompt reported</x:v>
      </x:c>
      <x:c r="P247" s="2" t="str">
        <x:v>NR</x:v>
      </x:c>
      <x:c r="Q247" s="2" t="str">
        <x:v>No</x:v>
      </x:c>
      <x:c r="R247" s="2" t="str">
        <x:v>No</x:v>
      </x:c>
      <x:c r="S247" s="2" t="str">
        <x:v>No</x:v>
      </x:c>
      <x:c r="T247" s="2" t="str">
        <x:v>NR</x:v>
      </x:c>
      <x:c r="U247" s="6" t="str">
        <x:v>p. 5; Structured Prompt Design section</x:v>
      </x:c>
      <x:c r="V24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7" s="6" t="str">
        <x:v>结构化提示设计是核心配置特征，所有LLM调用均采用此模板以提高可追溯性。</x:v>
      </x:c>
      <x:c r="X247" s="6" t="str">
        <x:v>Appendix提供了所有活动的完整结构化提示。; shared feature split by model use and operation</x:v>
      </x:c>
    </x:row>
    <x:row r="248" ht="76" customHeight="1">
      <x:c r="A248" s="2" t="str">
        <x:v>S46</x:v>
      </x:c>
      <x:c r="B248" s="2" t="str">
        <x:v>S46-CF18</x:v>
      </x:c>
      <x:c r="C248" s="2" t="str">
        <x:v>S46-MU18</x:v>
      </x:c>
      <x:c r="D248" s="2" t="str">
        <x:v>S46-O08</x:v>
      </x:c>
      <x:c r="E248" s="2" t="str">
        <x:v>Prompting</x:v>
      </x:c>
      <x:c r="F248" s="2" t="str">
        <x:v>Structured Prompt Design</x:v>
      </x:c>
      <x:c r="G248" s="2" t="str">
        <x:v>StructuredPrompting</x:v>
      </x:c>
      <x:c r="H248" s="6" t="str">
        <x:v>采用结构化提示模板，包含Prompt ID、Context、Input Data、Prompt和Expected Outcome五个部分，以增强软件制品的可追溯性。</x:v>
      </x:c>
      <x:c r="I248" s="2" t="str">
        <x:v>Yes</x:v>
      </x:c>
      <x:c r="J248" s="2"/>
      <x:c r="K248" s="6" t="str">
        <x:v>Prompt design</x:v>
      </x:c>
      <x:c r="L248" s="2" t="str">
        <x:v>Structured/template prompting</x:v>
      </x:c>
      <x:c r="M248" s="2" t="str">
        <x:v>Structured/template prompting</x:v>
      </x:c>
      <x:c r="N248" s="2" t="str">
        <x:v>Yes</x:v>
      </x:c>
      <x:c r="O248" s="2" t="str">
        <x:v>Full prompt reported</x:v>
      </x:c>
      <x:c r="P248" s="2" t="str">
        <x:v>NR</x:v>
      </x:c>
      <x:c r="Q248" s="2" t="str">
        <x:v>No</x:v>
      </x:c>
      <x:c r="R248" s="2" t="str">
        <x:v>No</x:v>
      </x:c>
      <x:c r="S248" s="2" t="str">
        <x:v>No</x:v>
      </x:c>
      <x:c r="T248" s="2" t="str">
        <x:v>NR</x:v>
      </x:c>
      <x:c r="U248" s="6" t="str">
        <x:v>p. 5; Structured Prompt Design section</x:v>
      </x:c>
      <x:c r="V24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8" s="6" t="str">
        <x:v>结构化提示设计是核心配置特征，所有LLM调用均采用此模板以提高可追溯性。</x:v>
      </x:c>
      <x:c r="X248" s="6" t="str">
        <x:v>Appendix提供了所有活动的完整结构化提示。; shared feature split by model use and operation</x:v>
      </x:c>
    </x:row>
    <x:row r="249" ht="76" customHeight="1">
      <x:c r="A249" s="2" t="str">
        <x:v>S46</x:v>
      </x:c>
      <x:c r="B249" s="2" t="str">
        <x:v>S46-CF19</x:v>
      </x:c>
      <x:c r="C249" s="2" t="str">
        <x:v>S46-MU19</x:v>
      </x:c>
      <x:c r="D249" s="2" t="str">
        <x:v>S46-O09</x:v>
      </x:c>
      <x:c r="E249" s="2" t="str">
        <x:v>Prompting</x:v>
      </x:c>
      <x:c r="F249" s="2" t="str">
        <x:v>Structured Prompt Design</x:v>
      </x:c>
      <x:c r="G249" s="2" t="str">
        <x:v>StructuredPrompting</x:v>
      </x:c>
      <x:c r="H249" s="6" t="str">
        <x:v>采用结构化提示模板，包含Prompt ID、Context、Input Data、Prompt和Expected Outcome五个部分，以增强软件制品的可追溯性。</x:v>
      </x:c>
      <x:c r="I249" s="2" t="str">
        <x:v>Yes</x:v>
      </x:c>
      <x:c r="J249" s="2"/>
      <x:c r="K249" s="6" t="str">
        <x:v>Prompt design</x:v>
      </x:c>
      <x:c r="L249" s="2" t="str">
        <x:v>Structured/template prompting</x:v>
      </x:c>
      <x:c r="M249" s="2" t="str">
        <x:v>Structured/template prompting</x:v>
      </x:c>
      <x:c r="N249" s="2" t="str">
        <x:v>Yes</x:v>
      </x:c>
      <x:c r="O249" s="2" t="str">
        <x:v>Full prompt reported</x:v>
      </x:c>
      <x:c r="P249" s="2" t="str">
        <x:v>NR</x:v>
      </x:c>
      <x:c r="Q249" s="2" t="str">
        <x:v>No</x:v>
      </x:c>
      <x:c r="R249" s="2" t="str">
        <x:v>No</x:v>
      </x:c>
      <x:c r="S249" s="2" t="str">
        <x:v>No</x:v>
      </x:c>
      <x:c r="T249" s="2" t="str">
        <x:v>NR</x:v>
      </x:c>
      <x:c r="U249" s="6" t="str">
        <x:v>p. 5; Structured Prompt Design section</x:v>
      </x:c>
      <x:c r="V24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49" s="6" t="str">
        <x:v>结构化提示设计是核心配置特征，所有LLM调用均采用此模板以提高可追溯性。</x:v>
      </x:c>
      <x:c r="X249" s="6" t="str">
        <x:v>Appendix提供了所有活动的完整结构化提示。; shared feature split by model use and operation</x:v>
      </x:c>
    </x:row>
    <x:row r="250" ht="76" customHeight="1">
      <x:c r="A250" s="2" t="str">
        <x:v>S46</x:v>
      </x:c>
      <x:c r="B250" s="2" t="str">
        <x:v>S46-CF20</x:v>
      </x:c>
      <x:c r="C250" s="2" t="str">
        <x:v>S46-MU20</x:v>
      </x:c>
      <x:c r="D250" s="2" t="str">
        <x:v>S46-O10</x:v>
      </x:c>
      <x:c r="E250" s="2" t="str">
        <x:v>Prompting</x:v>
      </x:c>
      <x:c r="F250" s="2" t="str">
        <x:v>Structured Prompt Design</x:v>
      </x:c>
      <x:c r="G250" s="2" t="str">
        <x:v>StructuredPrompting</x:v>
      </x:c>
      <x:c r="H250" s="6" t="str">
        <x:v>采用结构化提示模板，包含Prompt ID、Context、Input Data、Prompt和Expected Outcome五个部分，以增强软件制品的可追溯性。</x:v>
      </x:c>
      <x:c r="I250" s="2" t="str">
        <x:v>Yes</x:v>
      </x:c>
      <x:c r="J250" s="2"/>
      <x:c r="K250" s="6" t="str">
        <x:v>Prompt design</x:v>
      </x:c>
      <x:c r="L250" s="2" t="str">
        <x:v>Structured/template prompting</x:v>
      </x:c>
      <x:c r="M250" s="2" t="str">
        <x:v>Structured/template prompting</x:v>
      </x:c>
      <x:c r="N250" s="2" t="str">
        <x:v>Yes</x:v>
      </x:c>
      <x:c r="O250" s="2" t="str">
        <x:v>Full prompt reported</x:v>
      </x:c>
      <x:c r="P250" s="2" t="str">
        <x:v>NR</x:v>
      </x:c>
      <x:c r="Q250" s="2" t="str">
        <x:v>No</x:v>
      </x:c>
      <x:c r="R250" s="2" t="str">
        <x:v>No</x:v>
      </x:c>
      <x:c r="S250" s="2" t="str">
        <x:v>No</x:v>
      </x:c>
      <x:c r="T250" s="2" t="str">
        <x:v>NR</x:v>
      </x:c>
      <x:c r="U250" s="6" t="str">
        <x:v>p. 5; Structured Prompt Design section</x:v>
      </x:c>
      <x:c r="V25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0" s="6" t="str">
        <x:v>结构化提示设计是核心配置特征，所有LLM调用均采用此模板以提高可追溯性。</x:v>
      </x:c>
      <x:c r="X250" s="6" t="str">
        <x:v>Appendix提供了所有活动的完整结构化提示。; shared feature split by model use and operation</x:v>
      </x:c>
    </x:row>
    <x:row r="251" ht="76" customHeight="1">
      <x:c r="A251" s="2" t="str">
        <x:v>S46</x:v>
      </x:c>
      <x:c r="B251" s="2" t="str">
        <x:v>S46-CF21</x:v>
      </x:c>
      <x:c r="C251" s="2" t="str">
        <x:v>S46-MU21</x:v>
      </x:c>
      <x:c r="D251" s="2" t="str">
        <x:v>S46-O01</x:v>
      </x:c>
      <x:c r="E251" s="2" t="str">
        <x:v>Prompting</x:v>
      </x:c>
      <x:c r="F251" s="2" t="str">
        <x:v>Structured Prompt Design</x:v>
      </x:c>
      <x:c r="G251" s="2" t="str">
        <x:v>StructuredPrompting</x:v>
      </x:c>
      <x:c r="H251" s="6" t="str">
        <x:v>采用结构化提示模板，包含Prompt ID、Context、Input Data、Prompt和Expected Outcome五个部分，以增强软件制品的可追溯性。</x:v>
      </x:c>
      <x:c r="I251" s="2" t="str">
        <x:v>Yes</x:v>
      </x:c>
      <x:c r="J251" s="2"/>
      <x:c r="K251" s="6" t="str">
        <x:v>Prompt design</x:v>
      </x:c>
      <x:c r="L251" s="2" t="str">
        <x:v>Structured/template prompting</x:v>
      </x:c>
      <x:c r="M251" s="2" t="str">
        <x:v>Structured/template prompting</x:v>
      </x:c>
      <x:c r="N251" s="2" t="str">
        <x:v>Yes</x:v>
      </x:c>
      <x:c r="O251" s="2" t="str">
        <x:v>Full prompt reported</x:v>
      </x:c>
      <x:c r="P251" s="2" t="str">
        <x:v>NR</x:v>
      </x:c>
      <x:c r="Q251" s="2" t="str">
        <x:v>No</x:v>
      </x:c>
      <x:c r="R251" s="2" t="str">
        <x:v>No</x:v>
      </x:c>
      <x:c r="S251" s="2" t="str">
        <x:v>No</x:v>
      </x:c>
      <x:c r="T251" s="2" t="str">
        <x:v>NR</x:v>
      </x:c>
      <x:c r="U251" s="6" t="str">
        <x:v>p. 5; Structured Prompt Design section</x:v>
      </x:c>
      <x:c r="V25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1" s="6" t="str">
        <x:v>结构化提示设计是核心配置特征，所有LLM调用均采用此模板以提高可追溯性。</x:v>
      </x:c>
      <x:c r="X251" s="6" t="str">
        <x:v>Appendix提供了所有活动的完整结构化提示。; shared feature split by model use and operation</x:v>
      </x:c>
    </x:row>
    <x:row r="252" ht="76" customHeight="1">
      <x:c r="A252" s="2" t="str">
        <x:v>S46</x:v>
      </x:c>
      <x:c r="B252" s="2" t="str">
        <x:v>S46-CF22</x:v>
      </x:c>
      <x:c r="C252" s="2" t="str">
        <x:v>S46-MU22</x:v>
      </x:c>
      <x:c r="D252" s="2" t="str">
        <x:v>S46-O02</x:v>
      </x:c>
      <x:c r="E252" s="2" t="str">
        <x:v>Prompting</x:v>
      </x:c>
      <x:c r="F252" s="2" t="str">
        <x:v>Structured Prompt Design</x:v>
      </x:c>
      <x:c r="G252" s="2" t="str">
        <x:v>StructuredPrompting</x:v>
      </x:c>
      <x:c r="H252" s="6" t="str">
        <x:v>采用结构化提示模板，包含Prompt ID、Context、Input Data、Prompt和Expected Outcome五个部分，以增强软件制品的可追溯性。</x:v>
      </x:c>
      <x:c r="I252" s="2" t="str">
        <x:v>Yes</x:v>
      </x:c>
      <x:c r="J252" s="2"/>
      <x:c r="K252" s="6" t="str">
        <x:v>Prompt design</x:v>
      </x:c>
      <x:c r="L252" s="2" t="str">
        <x:v>Structured/template prompting</x:v>
      </x:c>
      <x:c r="M252" s="2" t="str">
        <x:v>Structured/template prompting</x:v>
      </x:c>
      <x:c r="N252" s="2" t="str">
        <x:v>Yes</x:v>
      </x:c>
      <x:c r="O252" s="2" t="str">
        <x:v>Full prompt reported</x:v>
      </x:c>
      <x:c r="P252" s="2" t="str">
        <x:v>NR</x:v>
      </x:c>
      <x:c r="Q252" s="2" t="str">
        <x:v>No</x:v>
      </x:c>
      <x:c r="R252" s="2" t="str">
        <x:v>No</x:v>
      </x:c>
      <x:c r="S252" s="2" t="str">
        <x:v>No</x:v>
      </x:c>
      <x:c r="T252" s="2" t="str">
        <x:v>NR</x:v>
      </x:c>
      <x:c r="U252" s="6" t="str">
        <x:v>p. 5; Structured Prompt Design section</x:v>
      </x:c>
      <x:c r="V25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2" s="6" t="str">
        <x:v>结构化提示设计是核心配置特征，所有LLM调用均采用此模板以提高可追溯性。</x:v>
      </x:c>
      <x:c r="X252" s="6" t="str">
        <x:v>Appendix提供了所有活动的完整结构化提示。; shared feature split by model use and operation</x:v>
      </x:c>
    </x:row>
    <x:row r="253" ht="76" customHeight="1">
      <x:c r="A253" s="2" t="str">
        <x:v>S46</x:v>
      </x:c>
      <x:c r="B253" s="2" t="str">
        <x:v>S46-CF23</x:v>
      </x:c>
      <x:c r="C253" s="2" t="str">
        <x:v>S46-MU23</x:v>
      </x:c>
      <x:c r="D253" s="2" t="str">
        <x:v>S46-O03</x:v>
      </x:c>
      <x:c r="E253" s="2" t="str">
        <x:v>Prompting</x:v>
      </x:c>
      <x:c r="F253" s="2" t="str">
        <x:v>Structured Prompt Design</x:v>
      </x:c>
      <x:c r="G253" s="2" t="str">
        <x:v>StructuredPrompting</x:v>
      </x:c>
      <x:c r="H253" s="6" t="str">
        <x:v>采用结构化提示模板，包含Prompt ID、Context、Input Data、Prompt和Expected Outcome五个部分，以增强软件制品的可追溯性。</x:v>
      </x:c>
      <x:c r="I253" s="2" t="str">
        <x:v>Yes</x:v>
      </x:c>
      <x:c r="J253" s="2"/>
      <x:c r="K253" s="6" t="str">
        <x:v>Prompt design</x:v>
      </x:c>
      <x:c r="L253" s="2" t="str">
        <x:v>Structured/template prompting</x:v>
      </x:c>
      <x:c r="M253" s="2" t="str">
        <x:v>Structured/template prompting</x:v>
      </x:c>
      <x:c r="N253" s="2" t="str">
        <x:v>Yes</x:v>
      </x:c>
      <x:c r="O253" s="2" t="str">
        <x:v>Full prompt reported</x:v>
      </x:c>
      <x:c r="P253" s="2" t="str">
        <x:v>NR</x:v>
      </x:c>
      <x:c r="Q253" s="2" t="str">
        <x:v>No</x:v>
      </x:c>
      <x:c r="R253" s="2" t="str">
        <x:v>No</x:v>
      </x:c>
      <x:c r="S253" s="2" t="str">
        <x:v>No</x:v>
      </x:c>
      <x:c r="T253" s="2" t="str">
        <x:v>NR</x:v>
      </x:c>
      <x:c r="U253" s="6" t="str">
        <x:v>p. 5; Structured Prompt Design section</x:v>
      </x:c>
      <x:c r="V25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3" s="6" t="str">
        <x:v>结构化提示设计是核心配置特征，所有LLM调用均采用此模板以提高可追溯性。</x:v>
      </x:c>
      <x:c r="X253" s="6" t="str">
        <x:v>Appendix提供了所有活动的完整结构化提示。; shared feature split by model use and operation</x:v>
      </x:c>
    </x:row>
    <x:row r="254" ht="76" customHeight="1">
      <x:c r="A254" s="2" t="str">
        <x:v>S46</x:v>
      </x:c>
      <x:c r="B254" s="2" t="str">
        <x:v>S46-CF24</x:v>
      </x:c>
      <x:c r="C254" s="2" t="str">
        <x:v>S46-MU24</x:v>
      </x:c>
      <x:c r="D254" s="2" t="str">
        <x:v>S46-O04</x:v>
      </x:c>
      <x:c r="E254" s="2" t="str">
        <x:v>Prompting</x:v>
      </x:c>
      <x:c r="F254" s="2" t="str">
        <x:v>Structured Prompt Design</x:v>
      </x:c>
      <x:c r="G254" s="2" t="str">
        <x:v>StructuredPrompting</x:v>
      </x:c>
      <x:c r="H254" s="6" t="str">
        <x:v>采用结构化提示模板，包含Prompt ID、Context、Input Data、Prompt和Expected Outcome五个部分，以增强软件制品的可追溯性。</x:v>
      </x:c>
      <x:c r="I254" s="2" t="str">
        <x:v>Yes</x:v>
      </x:c>
      <x:c r="J254" s="2"/>
      <x:c r="K254" s="6" t="str">
        <x:v>Prompt design</x:v>
      </x:c>
      <x:c r="L254" s="2" t="str">
        <x:v>Structured/template prompting</x:v>
      </x:c>
      <x:c r="M254" s="2" t="str">
        <x:v>Structured/template prompting</x:v>
      </x:c>
      <x:c r="N254" s="2" t="str">
        <x:v>Yes</x:v>
      </x:c>
      <x:c r="O254" s="2" t="str">
        <x:v>Full prompt reported</x:v>
      </x:c>
      <x:c r="P254" s="2" t="str">
        <x:v>NR</x:v>
      </x:c>
      <x:c r="Q254" s="2" t="str">
        <x:v>No</x:v>
      </x:c>
      <x:c r="R254" s="2" t="str">
        <x:v>No</x:v>
      </x:c>
      <x:c r="S254" s="2" t="str">
        <x:v>No</x:v>
      </x:c>
      <x:c r="T254" s="2" t="str">
        <x:v>NR</x:v>
      </x:c>
      <x:c r="U254" s="6" t="str">
        <x:v>p. 5; Structured Prompt Design section</x:v>
      </x:c>
      <x:c r="V25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4" s="6" t="str">
        <x:v>结构化提示设计是核心配置特征，所有LLM调用均采用此模板以提高可追溯性。</x:v>
      </x:c>
      <x:c r="X254" s="6" t="str">
        <x:v>Appendix提供了所有活动的完整结构化提示。; shared feature split by model use and operation</x:v>
      </x:c>
    </x:row>
    <x:row r="255" ht="76" customHeight="1">
      <x:c r="A255" s="2" t="str">
        <x:v>S46</x:v>
      </x:c>
      <x:c r="B255" s="2" t="str">
        <x:v>S46-CF25</x:v>
      </x:c>
      <x:c r="C255" s="2" t="str">
        <x:v>S46-MU25</x:v>
      </x:c>
      <x:c r="D255" s="2" t="str">
        <x:v>S46-O05</x:v>
      </x:c>
      <x:c r="E255" s="2" t="str">
        <x:v>Prompting</x:v>
      </x:c>
      <x:c r="F255" s="2" t="str">
        <x:v>Structured Prompt Design</x:v>
      </x:c>
      <x:c r="G255" s="2" t="str">
        <x:v>StructuredPrompting</x:v>
      </x:c>
      <x:c r="H255" s="6" t="str">
        <x:v>采用结构化提示模板，包含Prompt ID、Context、Input Data、Prompt和Expected Outcome五个部分，以增强软件制品的可追溯性。</x:v>
      </x:c>
      <x:c r="I255" s="2" t="str">
        <x:v>Yes</x:v>
      </x:c>
      <x:c r="J255" s="2"/>
      <x:c r="K255" s="6" t="str">
        <x:v>Prompt design</x:v>
      </x:c>
      <x:c r="L255" s="2" t="str">
        <x:v>Structured/template prompting</x:v>
      </x:c>
      <x:c r="M255" s="2" t="str">
        <x:v>Structured/template prompting</x:v>
      </x:c>
      <x:c r="N255" s="2" t="str">
        <x:v>Yes</x:v>
      </x:c>
      <x:c r="O255" s="2" t="str">
        <x:v>Full prompt reported</x:v>
      </x:c>
      <x:c r="P255" s="2" t="str">
        <x:v>NR</x:v>
      </x:c>
      <x:c r="Q255" s="2" t="str">
        <x:v>No</x:v>
      </x:c>
      <x:c r="R255" s="2" t="str">
        <x:v>No</x:v>
      </x:c>
      <x:c r="S255" s="2" t="str">
        <x:v>No</x:v>
      </x:c>
      <x:c r="T255" s="2" t="str">
        <x:v>NR</x:v>
      </x:c>
      <x:c r="U255" s="6" t="str">
        <x:v>p. 5; Structured Prompt Design section</x:v>
      </x:c>
      <x:c r="V25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5" s="6" t="str">
        <x:v>结构化提示设计是核心配置特征，所有LLM调用均采用此模板以提高可追溯性。</x:v>
      </x:c>
      <x:c r="X255" s="6" t="str">
        <x:v>Appendix提供了所有活动的完整结构化提示。; shared feature split by model use and operation</x:v>
      </x:c>
    </x:row>
    <x:row r="256" ht="76" customHeight="1">
      <x:c r="A256" s="2" t="str">
        <x:v>S46</x:v>
      </x:c>
      <x:c r="B256" s="2" t="str">
        <x:v>S46-CF26</x:v>
      </x:c>
      <x:c r="C256" s="2" t="str">
        <x:v>S46-MU26</x:v>
      </x:c>
      <x:c r="D256" s="2" t="str">
        <x:v>S46-O06</x:v>
      </x:c>
      <x:c r="E256" s="2" t="str">
        <x:v>Prompting</x:v>
      </x:c>
      <x:c r="F256" s="2" t="str">
        <x:v>Structured Prompt Design</x:v>
      </x:c>
      <x:c r="G256" s="2" t="str">
        <x:v>StructuredPrompting</x:v>
      </x:c>
      <x:c r="H256" s="6" t="str">
        <x:v>采用结构化提示模板，包含Prompt ID、Context、Input Data、Prompt和Expected Outcome五个部分，以增强软件制品的可追溯性。</x:v>
      </x:c>
      <x:c r="I256" s="2" t="str">
        <x:v>Yes</x:v>
      </x:c>
      <x:c r="J256" s="2"/>
      <x:c r="K256" s="6" t="str">
        <x:v>Prompt design</x:v>
      </x:c>
      <x:c r="L256" s="2" t="str">
        <x:v>Structured/template prompting</x:v>
      </x:c>
      <x:c r="M256" s="2" t="str">
        <x:v>Structured/template prompting</x:v>
      </x:c>
      <x:c r="N256" s="2" t="str">
        <x:v>Yes</x:v>
      </x:c>
      <x:c r="O256" s="2" t="str">
        <x:v>Full prompt reported</x:v>
      </x:c>
      <x:c r="P256" s="2" t="str">
        <x:v>NR</x:v>
      </x:c>
      <x:c r="Q256" s="2" t="str">
        <x:v>No</x:v>
      </x:c>
      <x:c r="R256" s="2" t="str">
        <x:v>No</x:v>
      </x:c>
      <x:c r="S256" s="2" t="str">
        <x:v>No</x:v>
      </x:c>
      <x:c r="T256" s="2" t="str">
        <x:v>NR</x:v>
      </x:c>
      <x:c r="U256" s="6" t="str">
        <x:v>p. 5; Structured Prompt Design section</x:v>
      </x:c>
      <x:c r="V25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6" s="6" t="str">
        <x:v>结构化提示设计是核心配置特征，所有LLM调用均采用此模板以提高可追溯性。</x:v>
      </x:c>
      <x:c r="X256" s="6" t="str">
        <x:v>Appendix提供了所有活动的完整结构化提示。; shared feature split by model use and operation</x:v>
      </x:c>
    </x:row>
    <x:row r="257" ht="76" customHeight="1">
      <x:c r="A257" s="2" t="str">
        <x:v>S46</x:v>
      </x:c>
      <x:c r="B257" s="2" t="str">
        <x:v>S46-CF27</x:v>
      </x:c>
      <x:c r="C257" s="2" t="str">
        <x:v>S46-MU27</x:v>
      </x:c>
      <x:c r="D257" s="2" t="str">
        <x:v>S46-O07</x:v>
      </x:c>
      <x:c r="E257" s="2" t="str">
        <x:v>Prompting</x:v>
      </x:c>
      <x:c r="F257" s="2" t="str">
        <x:v>Structured Prompt Design</x:v>
      </x:c>
      <x:c r="G257" s="2" t="str">
        <x:v>StructuredPrompting</x:v>
      </x:c>
      <x:c r="H257" s="6" t="str">
        <x:v>采用结构化提示模板，包含Prompt ID、Context、Input Data、Prompt和Expected Outcome五个部分，以增强软件制品的可追溯性。</x:v>
      </x:c>
      <x:c r="I257" s="2" t="str">
        <x:v>Yes</x:v>
      </x:c>
      <x:c r="J257" s="2"/>
      <x:c r="K257" s="6" t="str">
        <x:v>Prompt design</x:v>
      </x:c>
      <x:c r="L257" s="2" t="str">
        <x:v>Structured/template prompting</x:v>
      </x:c>
      <x:c r="M257" s="2" t="str">
        <x:v>Structured/template prompting</x:v>
      </x:c>
      <x:c r="N257" s="2" t="str">
        <x:v>Yes</x:v>
      </x:c>
      <x:c r="O257" s="2" t="str">
        <x:v>Full prompt reported</x:v>
      </x:c>
      <x:c r="P257" s="2" t="str">
        <x:v>NR</x:v>
      </x:c>
      <x:c r="Q257" s="2" t="str">
        <x:v>No</x:v>
      </x:c>
      <x:c r="R257" s="2" t="str">
        <x:v>No</x:v>
      </x:c>
      <x:c r="S257" s="2" t="str">
        <x:v>No</x:v>
      </x:c>
      <x:c r="T257" s="2" t="str">
        <x:v>NR</x:v>
      </x:c>
      <x:c r="U257" s="6" t="str">
        <x:v>p. 5; Structured Prompt Design section</x:v>
      </x:c>
      <x:c r="V25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7" s="6" t="str">
        <x:v>结构化提示设计是核心配置特征，所有LLM调用均采用此模板以提高可追溯性。</x:v>
      </x:c>
      <x:c r="X257" s="6" t="str">
        <x:v>Appendix提供了所有活动的完整结构化提示。; shared feature split by model use and operation</x:v>
      </x:c>
    </x:row>
    <x:row r="258" ht="76" customHeight="1">
      <x:c r="A258" s="2" t="str">
        <x:v>S46</x:v>
      </x:c>
      <x:c r="B258" s="2" t="str">
        <x:v>S46-CF28</x:v>
      </x:c>
      <x:c r="C258" s="2" t="str">
        <x:v>S46-MU28</x:v>
      </x:c>
      <x:c r="D258" s="2" t="str">
        <x:v>S46-O08</x:v>
      </x:c>
      <x:c r="E258" s="2" t="str">
        <x:v>Prompting</x:v>
      </x:c>
      <x:c r="F258" s="2" t="str">
        <x:v>Structured Prompt Design</x:v>
      </x:c>
      <x:c r="G258" s="2" t="str">
        <x:v>StructuredPrompting</x:v>
      </x:c>
      <x:c r="H258" s="6" t="str">
        <x:v>采用结构化提示模板，包含Prompt ID、Context、Input Data、Prompt和Expected Outcome五个部分，以增强软件制品的可追溯性。</x:v>
      </x:c>
      <x:c r="I258" s="2" t="str">
        <x:v>Yes</x:v>
      </x:c>
      <x:c r="J258" s="2"/>
      <x:c r="K258" s="6" t="str">
        <x:v>Prompt design</x:v>
      </x:c>
      <x:c r="L258" s="2" t="str">
        <x:v>Structured/template prompting</x:v>
      </x:c>
      <x:c r="M258" s="2" t="str">
        <x:v>Structured/template prompting</x:v>
      </x:c>
      <x:c r="N258" s="2" t="str">
        <x:v>Yes</x:v>
      </x:c>
      <x:c r="O258" s="2" t="str">
        <x:v>Full prompt reported</x:v>
      </x:c>
      <x:c r="P258" s="2" t="str">
        <x:v>NR</x:v>
      </x:c>
      <x:c r="Q258" s="2" t="str">
        <x:v>No</x:v>
      </x:c>
      <x:c r="R258" s="2" t="str">
        <x:v>No</x:v>
      </x:c>
      <x:c r="S258" s="2" t="str">
        <x:v>No</x:v>
      </x:c>
      <x:c r="T258" s="2" t="str">
        <x:v>NR</x:v>
      </x:c>
      <x:c r="U258" s="6" t="str">
        <x:v>p. 5; Structured Prompt Design section</x:v>
      </x:c>
      <x:c r="V25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8" s="6" t="str">
        <x:v>结构化提示设计是核心配置特征，所有LLM调用均采用此模板以提高可追溯性。</x:v>
      </x:c>
      <x:c r="X258" s="6" t="str">
        <x:v>Appendix提供了所有活动的完整结构化提示。; shared feature split by model use and operation</x:v>
      </x:c>
    </x:row>
    <x:row r="259" ht="76" customHeight="1">
      <x:c r="A259" s="2" t="str">
        <x:v>S46</x:v>
      </x:c>
      <x:c r="B259" s="2" t="str">
        <x:v>S46-CF29</x:v>
      </x:c>
      <x:c r="C259" s="2" t="str">
        <x:v>S46-MU29</x:v>
      </x:c>
      <x:c r="D259" s="2" t="str">
        <x:v>S46-O09</x:v>
      </x:c>
      <x:c r="E259" s="2" t="str">
        <x:v>Prompting</x:v>
      </x:c>
      <x:c r="F259" s="2" t="str">
        <x:v>Structured Prompt Design</x:v>
      </x:c>
      <x:c r="G259" s="2" t="str">
        <x:v>StructuredPrompting</x:v>
      </x:c>
      <x:c r="H259" s="6" t="str">
        <x:v>采用结构化提示模板，包含Prompt ID、Context、Input Data、Prompt和Expected Outcome五个部分，以增强软件制品的可追溯性。</x:v>
      </x:c>
      <x:c r="I259" s="2" t="str">
        <x:v>Yes</x:v>
      </x:c>
      <x:c r="J259" s="2"/>
      <x:c r="K259" s="6" t="str">
        <x:v>Prompt design</x:v>
      </x:c>
      <x:c r="L259" s="2" t="str">
        <x:v>Structured/template prompting</x:v>
      </x:c>
      <x:c r="M259" s="2" t="str">
        <x:v>Structured/template prompting</x:v>
      </x:c>
      <x:c r="N259" s="2" t="str">
        <x:v>Yes</x:v>
      </x:c>
      <x:c r="O259" s="2" t="str">
        <x:v>Full prompt reported</x:v>
      </x:c>
      <x:c r="P259" s="2" t="str">
        <x:v>NR</x:v>
      </x:c>
      <x:c r="Q259" s="2" t="str">
        <x:v>No</x:v>
      </x:c>
      <x:c r="R259" s="2" t="str">
        <x:v>No</x:v>
      </x:c>
      <x:c r="S259" s="2" t="str">
        <x:v>No</x:v>
      </x:c>
      <x:c r="T259" s="2" t="str">
        <x:v>NR</x:v>
      </x:c>
      <x:c r="U259" s="6" t="str">
        <x:v>p. 5; Structured Prompt Design section</x:v>
      </x:c>
      <x:c r="V25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59" s="6" t="str">
        <x:v>结构化提示设计是核心配置特征，所有LLM调用均采用此模板以提高可追溯性。</x:v>
      </x:c>
      <x:c r="X259" s="6" t="str">
        <x:v>Appendix提供了所有活动的完整结构化提示。; shared feature split by model use and operation</x:v>
      </x:c>
    </x:row>
    <x:row r="260" ht="76" customHeight="1">
      <x:c r="A260" s="2" t="str">
        <x:v>S46</x:v>
      </x:c>
      <x:c r="B260" s="2" t="str">
        <x:v>S46-CF30</x:v>
      </x:c>
      <x:c r="C260" s="2" t="str">
        <x:v>S46-MU30</x:v>
      </x:c>
      <x:c r="D260" s="2" t="str">
        <x:v>S46-O10</x:v>
      </x:c>
      <x:c r="E260" s="2" t="str">
        <x:v>Prompting</x:v>
      </x:c>
      <x:c r="F260" s="2" t="str">
        <x:v>Structured Prompt Design</x:v>
      </x:c>
      <x:c r="G260" s="2" t="str">
        <x:v>StructuredPrompting</x:v>
      </x:c>
      <x:c r="H260" s="6" t="str">
        <x:v>采用结构化提示模板，包含Prompt ID、Context、Input Data、Prompt和Expected Outcome五个部分，以增强软件制品的可追溯性。</x:v>
      </x:c>
      <x:c r="I260" s="2" t="str">
        <x:v>Yes</x:v>
      </x:c>
      <x:c r="J260" s="2"/>
      <x:c r="K260" s="6" t="str">
        <x:v>Prompt design</x:v>
      </x:c>
      <x:c r="L260" s="2" t="str">
        <x:v>Structured/template prompting</x:v>
      </x:c>
      <x:c r="M260" s="2" t="str">
        <x:v>Structured/template prompting</x:v>
      </x:c>
      <x:c r="N260" s="2" t="str">
        <x:v>Yes</x:v>
      </x:c>
      <x:c r="O260" s="2" t="str">
        <x:v>Full prompt reported</x:v>
      </x:c>
      <x:c r="P260" s="2" t="str">
        <x:v>NR</x:v>
      </x:c>
      <x:c r="Q260" s="2" t="str">
        <x:v>No</x:v>
      </x:c>
      <x:c r="R260" s="2" t="str">
        <x:v>No</x:v>
      </x:c>
      <x:c r="S260" s="2" t="str">
        <x:v>No</x:v>
      </x:c>
      <x:c r="T260" s="2" t="str">
        <x:v>NR</x:v>
      </x:c>
      <x:c r="U260" s="6" t="str">
        <x:v>p. 5; Structured Prompt Design section</x:v>
      </x:c>
      <x:c r="V26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0" s="6" t="str">
        <x:v>结构化提示设计是核心配置特征，所有LLM调用均采用此模板以提高可追溯性。</x:v>
      </x:c>
      <x:c r="X260" s="6" t="str">
        <x:v>Appendix提供了所有活动的完整结构化提示。; shared feature split by model use and operation</x:v>
      </x:c>
    </x:row>
    <x:row r="261" ht="76" customHeight="1">
      <x:c r="A261" s="2" t="str">
        <x:v>S46</x:v>
      </x:c>
      <x:c r="B261" s="2" t="str">
        <x:v>S46-CF31</x:v>
      </x:c>
      <x:c r="C261" s="2" t="str">
        <x:v>S46-MU31</x:v>
      </x:c>
      <x:c r="D261" s="2" t="str">
        <x:v>S46-O01</x:v>
      </x:c>
      <x:c r="E261" s="2" t="str">
        <x:v>Prompting</x:v>
      </x:c>
      <x:c r="F261" s="2" t="str">
        <x:v>Structured Prompt Design</x:v>
      </x:c>
      <x:c r="G261" s="2" t="str">
        <x:v>StructuredPrompting</x:v>
      </x:c>
      <x:c r="H261" s="6" t="str">
        <x:v>采用结构化提示模板，包含Prompt ID、Context、Input Data、Prompt和Expected Outcome五个部分，以增强软件制品的可追溯性。</x:v>
      </x:c>
      <x:c r="I261" s="2" t="str">
        <x:v>Yes</x:v>
      </x:c>
      <x:c r="J261" s="2"/>
      <x:c r="K261" s="6" t="str">
        <x:v>Prompt design</x:v>
      </x:c>
      <x:c r="L261" s="2" t="str">
        <x:v>Structured/template prompting</x:v>
      </x:c>
      <x:c r="M261" s="2" t="str">
        <x:v>Structured/template prompting</x:v>
      </x:c>
      <x:c r="N261" s="2" t="str">
        <x:v>Yes</x:v>
      </x:c>
      <x:c r="O261" s="2" t="str">
        <x:v>Full prompt reported</x:v>
      </x:c>
      <x:c r="P261" s="2" t="str">
        <x:v>NR</x:v>
      </x:c>
      <x:c r="Q261" s="2" t="str">
        <x:v>No</x:v>
      </x:c>
      <x:c r="R261" s="2" t="str">
        <x:v>No</x:v>
      </x:c>
      <x:c r="S261" s="2" t="str">
        <x:v>No</x:v>
      </x:c>
      <x:c r="T261" s="2" t="str">
        <x:v>NR</x:v>
      </x:c>
      <x:c r="U261" s="6" t="str">
        <x:v>p. 5; Structured Prompt Design section</x:v>
      </x:c>
      <x:c r="V26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1" s="6" t="str">
        <x:v>结构化提示设计是核心配置特征，所有LLM调用均采用此模板以提高可追溯性。</x:v>
      </x:c>
      <x:c r="X261" s="6" t="str">
        <x:v>Appendix提供了所有活动的完整结构化提示。; shared feature split by model use and operation</x:v>
      </x:c>
    </x:row>
    <x:row r="262" ht="76" customHeight="1">
      <x:c r="A262" s="2" t="str">
        <x:v>S46</x:v>
      </x:c>
      <x:c r="B262" s="2" t="str">
        <x:v>S46-CF32</x:v>
      </x:c>
      <x:c r="C262" s="2" t="str">
        <x:v>S46-MU32</x:v>
      </x:c>
      <x:c r="D262" s="2" t="str">
        <x:v>S46-O02</x:v>
      </x:c>
      <x:c r="E262" s="2" t="str">
        <x:v>Prompting</x:v>
      </x:c>
      <x:c r="F262" s="2" t="str">
        <x:v>Structured Prompt Design</x:v>
      </x:c>
      <x:c r="G262" s="2" t="str">
        <x:v>StructuredPrompting</x:v>
      </x:c>
      <x:c r="H262" s="6" t="str">
        <x:v>采用结构化提示模板，包含Prompt ID、Context、Input Data、Prompt和Expected Outcome五个部分，以增强软件制品的可追溯性。</x:v>
      </x:c>
      <x:c r="I262" s="2" t="str">
        <x:v>Yes</x:v>
      </x:c>
      <x:c r="J262" s="2"/>
      <x:c r="K262" s="6" t="str">
        <x:v>Prompt design</x:v>
      </x:c>
      <x:c r="L262" s="2" t="str">
        <x:v>Structured/template prompting</x:v>
      </x:c>
      <x:c r="M262" s="2" t="str">
        <x:v>Structured/template prompting</x:v>
      </x:c>
      <x:c r="N262" s="2" t="str">
        <x:v>Yes</x:v>
      </x:c>
      <x:c r="O262" s="2" t="str">
        <x:v>Full prompt reported</x:v>
      </x:c>
      <x:c r="P262" s="2" t="str">
        <x:v>NR</x:v>
      </x:c>
      <x:c r="Q262" s="2" t="str">
        <x:v>No</x:v>
      </x:c>
      <x:c r="R262" s="2" t="str">
        <x:v>No</x:v>
      </x:c>
      <x:c r="S262" s="2" t="str">
        <x:v>No</x:v>
      </x:c>
      <x:c r="T262" s="2" t="str">
        <x:v>NR</x:v>
      </x:c>
      <x:c r="U262" s="6" t="str">
        <x:v>p. 5; Structured Prompt Design section</x:v>
      </x:c>
      <x:c r="V26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2" s="6" t="str">
        <x:v>结构化提示设计是核心配置特征，所有LLM调用均采用此模板以提高可追溯性。</x:v>
      </x:c>
      <x:c r="X262" s="6" t="str">
        <x:v>Appendix提供了所有活动的完整结构化提示。; shared feature split by model use and operation</x:v>
      </x:c>
    </x:row>
    <x:row r="263" ht="76" customHeight="1">
      <x:c r="A263" s="2" t="str">
        <x:v>S46</x:v>
      </x:c>
      <x:c r="B263" s="2" t="str">
        <x:v>S46-CF33</x:v>
      </x:c>
      <x:c r="C263" s="2" t="str">
        <x:v>S46-MU33</x:v>
      </x:c>
      <x:c r="D263" s="2" t="str">
        <x:v>S46-O03</x:v>
      </x:c>
      <x:c r="E263" s="2" t="str">
        <x:v>Prompting</x:v>
      </x:c>
      <x:c r="F263" s="2" t="str">
        <x:v>Structured Prompt Design</x:v>
      </x:c>
      <x:c r="G263" s="2" t="str">
        <x:v>StructuredPrompting</x:v>
      </x:c>
      <x:c r="H263" s="6" t="str">
        <x:v>采用结构化提示模板，包含Prompt ID、Context、Input Data、Prompt和Expected Outcome五个部分，以增强软件制品的可追溯性。</x:v>
      </x:c>
      <x:c r="I263" s="2" t="str">
        <x:v>Yes</x:v>
      </x:c>
      <x:c r="J263" s="2"/>
      <x:c r="K263" s="6" t="str">
        <x:v>Prompt design</x:v>
      </x:c>
      <x:c r="L263" s="2" t="str">
        <x:v>Structured/template prompting</x:v>
      </x:c>
      <x:c r="M263" s="2" t="str">
        <x:v>Structured/template prompting</x:v>
      </x:c>
      <x:c r="N263" s="2" t="str">
        <x:v>Yes</x:v>
      </x:c>
      <x:c r="O263" s="2" t="str">
        <x:v>Full prompt reported</x:v>
      </x:c>
      <x:c r="P263" s="2" t="str">
        <x:v>NR</x:v>
      </x:c>
      <x:c r="Q263" s="2" t="str">
        <x:v>No</x:v>
      </x:c>
      <x:c r="R263" s="2" t="str">
        <x:v>No</x:v>
      </x:c>
      <x:c r="S263" s="2" t="str">
        <x:v>No</x:v>
      </x:c>
      <x:c r="T263" s="2" t="str">
        <x:v>NR</x:v>
      </x:c>
      <x:c r="U263" s="6" t="str">
        <x:v>p. 5; Structured Prompt Design section</x:v>
      </x:c>
      <x:c r="V26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3" s="6" t="str">
        <x:v>结构化提示设计是核心配置特征，所有LLM调用均采用此模板以提高可追溯性。</x:v>
      </x:c>
      <x:c r="X263" s="6" t="str">
        <x:v>Appendix提供了所有活动的完整结构化提示。; shared feature split by model use and operation</x:v>
      </x:c>
    </x:row>
    <x:row r="264" ht="76" customHeight="1">
      <x:c r="A264" s="2" t="str">
        <x:v>S46</x:v>
      </x:c>
      <x:c r="B264" s="2" t="str">
        <x:v>S46-CF34</x:v>
      </x:c>
      <x:c r="C264" s="2" t="str">
        <x:v>S46-MU34</x:v>
      </x:c>
      <x:c r="D264" s="2" t="str">
        <x:v>S46-O04</x:v>
      </x:c>
      <x:c r="E264" s="2" t="str">
        <x:v>Prompting</x:v>
      </x:c>
      <x:c r="F264" s="2" t="str">
        <x:v>Structured Prompt Design</x:v>
      </x:c>
      <x:c r="G264" s="2" t="str">
        <x:v>StructuredPrompting</x:v>
      </x:c>
      <x:c r="H264" s="6" t="str">
        <x:v>采用结构化提示模板，包含Prompt ID、Context、Input Data、Prompt和Expected Outcome五个部分，以增强软件制品的可追溯性。</x:v>
      </x:c>
      <x:c r="I264" s="2" t="str">
        <x:v>Yes</x:v>
      </x:c>
      <x:c r="J264" s="2"/>
      <x:c r="K264" s="6" t="str">
        <x:v>Prompt design</x:v>
      </x:c>
      <x:c r="L264" s="2" t="str">
        <x:v>Structured/template prompting</x:v>
      </x:c>
      <x:c r="M264" s="2" t="str">
        <x:v>Structured/template prompting</x:v>
      </x:c>
      <x:c r="N264" s="2" t="str">
        <x:v>Yes</x:v>
      </x:c>
      <x:c r="O264" s="2" t="str">
        <x:v>Full prompt reported</x:v>
      </x:c>
      <x:c r="P264" s="2" t="str">
        <x:v>NR</x:v>
      </x:c>
      <x:c r="Q264" s="2" t="str">
        <x:v>No</x:v>
      </x:c>
      <x:c r="R264" s="2" t="str">
        <x:v>No</x:v>
      </x:c>
      <x:c r="S264" s="2" t="str">
        <x:v>No</x:v>
      </x:c>
      <x:c r="T264" s="2" t="str">
        <x:v>NR</x:v>
      </x:c>
      <x:c r="U264" s="6" t="str">
        <x:v>p. 5; Structured Prompt Design section</x:v>
      </x:c>
      <x:c r="V26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4" s="6" t="str">
        <x:v>结构化提示设计是核心配置特征，所有LLM调用均采用此模板以提高可追溯性。</x:v>
      </x:c>
      <x:c r="X264" s="6" t="str">
        <x:v>Appendix提供了所有活动的完整结构化提示。; shared feature split by model use and operation</x:v>
      </x:c>
    </x:row>
    <x:row r="265" ht="76" customHeight="1">
      <x:c r="A265" s="2" t="str">
        <x:v>S46</x:v>
      </x:c>
      <x:c r="B265" s="2" t="str">
        <x:v>S46-CF35</x:v>
      </x:c>
      <x:c r="C265" s="2" t="str">
        <x:v>S46-MU35</x:v>
      </x:c>
      <x:c r="D265" s="2" t="str">
        <x:v>S46-O05</x:v>
      </x:c>
      <x:c r="E265" s="2" t="str">
        <x:v>Prompting</x:v>
      </x:c>
      <x:c r="F265" s="2" t="str">
        <x:v>Structured Prompt Design</x:v>
      </x:c>
      <x:c r="G265" s="2" t="str">
        <x:v>StructuredPrompting</x:v>
      </x:c>
      <x:c r="H265" s="6" t="str">
        <x:v>采用结构化提示模板，包含Prompt ID、Context、Input Data、Prompt和Expected Outcome五个部分，以增强软件制品的可追溯性。</x:v>
      </x:c>
      <x:c r="I265" s="2" t="str">
        <x:v>Yes</x:v>
      </x:c>
      <x:c r="J265" s="2"/>
      <x:c r="K265" s="6" t="str">
        <x:v>Prompt design</x:v>
      </x:c>
      <x:c r="L265" s="2" t="str">
        <x:v>Structured/template prompting</x:v>
      </x:c>
      <x:c r="M265" s="2" t="str">
        <x:v>Structured/template prompting</x:v>
      </x:c>
      <x:c r="N265" s="2" t="str">
        <x:v>Yes</x:v>
      </x:c>
      <x:c r="O265" s="2" t="str">
        <x:v>Full prompt reported</x:v>
      </x:c>
      <x:c r="P265" s="2" t="str">
        <x:v>NR</x:v>
      </x:c>
      <x:c r="Q265" s="2" t="str">
        <x:v>No</x:v>
      </x:c>
      <x:c r="R265" s="2" t="str">
        <x:v>No</x:v>
      </x:c>
      <x:c r="S265" s="2" t="str">
        <x:v>No</x:v>
      </x:c>
      <x:c r="T265" s="2" t="str">
        <x:v>NR</x:v>
      </x:c>
      <x:c r="U265" s="6" t="str">
        <x:v>p. 5; Structured Prompt Design section</x:v>
      </x:c>
      <x:c r="V26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5" s="6" t="str">
        <x:v>结构化提示设计是核心配置特征，所有LLM调用均采用此模板以提高可追溯性。</x:v>
      </x:c>
      <x:c r="X265" s="6" t="str">
        <x:v>Appendix提供了所有活动的完整结构化提示。; shared feature split by model use and operation</x:v>
      </x:c>
    </x:row>
    <x:row r="266" ht="76" customHeight="1">
      <x:c r="A266" s="2" t="str">
        <x:v>S46</x:v>
      </x:c>
      <x:c r="B266" s="2" t="str">
        <x:v>S46-CF36</x:v>
      </x:c>
      <x:c r="C266" s="2" t="str">
        <x:v>S46-MU36</x:v>
      </x:c>
      <x:c r="D266" s="2" t="str">
        <x:v>S46-O06</x:v>
      </x:c>
      <x:c r="E266" s="2" t="str">
        <x:v>Prompting</x:v>
      </x:c>
      <x:c r="F266" s="2" t="str">
        <x:v>Structured Prompt Design</x:v>
      </x:c>
      <x:c r="G266" s="2" t="str">
        <x:v>StructuredPrompting</x:v>
      </x:c>
      <x:c r="H266" s="6" t="str">
        <x:v>采用结构化提示模板，包含Prompt ID、Context、Input Data、Prompt和Expected Outcome五个部分，以增强软件制品的可追溯性。</x:v>
      </x:c>
      <x:c r="I266" s="2" t="str">
        <x:v>Yes</x:v>
      </x:c>
      <x:c r="J266" s="2"/>
      <x:c r="K266" s="6" t="str">
        <x:v>Prompt design</x:v>
      </x:c>
      <x:c r="L266" s="2" t="str">
        <x:v>Structured/template prompting</x:v>
      </x:c>
      <x:c r="M266" s="2" t="str">
        <x:v>Structured/template prompting</x:v>
      </x:c>
      <x:c r="N266" s="2" t="str">
        <x:v>Yes</x:v>
      </x:c>
      <x:c r="O266" s="2" t="str">
        <x:v>Full prompt reported</x:v>
      </x:c>
      <x:c r="P266" s="2" t="str">
        <x:v>NR</x:v>
      </x:c>
      <x:c r="Q266" s="2" t="str">
        <x:v>No</x:v>
      </x:c>
      <x:c r="R266" s="2" t="str">
        <x:v>No</x:v>
      </x:c>
      <x:c r="S266" s="2" t="str">
        <x:v>No</x:v>
      </x:c>
      <x:c r="T266" s="2" t="str">
        <x:v>NR</x:v>
      </x:c>
      <x:c r="U266" s="6" t="str">
        <x:v>p. 5; Structured Prompt Design section</x:v>
      </x:c>
      <x:c r="V26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6" s="6" t="str">
        <x:v>结构化提示设计是核心配置特征，所有LLM调用均采用此模板以提高可追溯性。</x:v>
      </x:c>
      <x:c r="X266" s="6" t="str">
        <x:v>Appendix提供了所有活动的完整结构化提示。; shared feature split by model use and operation</x:v>
      </x:c>
    </x:row>
    <x:row r="267" ht="76" customHeight="1">
      <x:c r="A267" s="2" t="str">
        <x:v>S46</x:v>
      </x:c>
      <x:c r="B267" s="2" t="str">
        <x:v>S46-CF37</x:v>
      </x:c>
      <x:c r="C267" s="2" t="str">
        <x:v>S46-MU37</x:v>
      </x:c>
      <x:c r="D267" s="2" t="str">
        <x:v>S46-O07</x:v>
      </x:c>
      <x:c r="E267" s="2" t="str">
        <x:v>Prompting</x:v>
      </x:c>
      <x:c r="F267" s="2" t="str">
        <x:v>Structured Prompt Design</x:v>
      </x:c>
      <x:c r="G267" s="2" t="str">
        <x:v>StructuredPrompting</x:v>
      </x:c>
      <x:c r="H267" s="6" t="str">
        <x:v>采用结构化提示模板，包含Prompt ID、Context、Input Data、Prompt和Expected Outcome五个部分，以增强软件制品的可追溯性。</x:v>
      </x:c>
      <x:c r="I267" s="2" t="str">
        <x:v>Yes</x:v>
      </x:c>
      <x:c r="J267" s="2"/>
      <x:c r="K267" s="6" t="str">
        <x:v>Prompt design</x:v>
      </x:c>
      <x:c r="L267" s="2" t="str">
        <x:v>Structured/template prompting</x:v>
      </x:c>
      <x:c r="M267" s="2" t="str">
        <x:v>Structured/template prompting</x:v>
      </x:c>
      <x:c r="N267" s="2" t="str">
        <x:v>Yes</x:v>
      </x:c>
      <x:c r="O267" s="2" t="str">
        <x:v>Full prompt reported</x:v>
      </x:c>
      <x:c r="P267" s="2" t="str">
        <x:v>NR</x:v>
      </x:c>
      <x:c r="Q267" s="2" t="str">
        <x:v>No</x:v>
      </x:c>
      <x:c r="R267" s="2" t="str">
        <x:v>No</x:v>
      </x:c>
      <x:c r="S267" s="2" t="str">
        <x:v>No</x:v>
      </x:c>
      <x:c r="T267" s="2" t="str">
        <x:v>NR</x:v>
      </x:c>
      <x:c r="U267" s="6" t="str">
        <x:v>p. 5; Structured Prompt Design section</x:v>
      </x:c>
      <x:c r="V26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7" s="6" t="str">
        <x:v>结构化提示设计是核心配置特征，所有LLM调用均采用此模板以提高可追溯性。</x:v>
      </x:c>
      <x:c r="X267" s="6" t="str">
        <x:v>Appendix提供了所有活动的完整结构化提示。; shared feature split by model use and operation</x:v>
      </x:c>
    </x:row>
    <x:row r="268" ht="76" customHeight="1">
      <x:c r="A268" s="2" t="str">
        <x:v>S46</x:v>
      </x:c>
      <x:c r="B268" s="2" t="str">
        <x:v>S46-CF38</x:v>
      </x:c>
      <x:c r="C268" s="2" t="str">
        <x:v>S46-MU38</x:v>
      </x:c>
      <x:c r="D268" s="2" t="str">
        <x:v>S46-O08</x:v>
      </x:c>
      <x:c r="E268" s="2" t="str">
        <x:v>Prompting</x:v>
      </x:c>
      <x:c r="F268" s="2" t="str">
        <x:v>Structured Prompt Design</x:v>
      </x:c>
      <x:c r="G268" s="2" t="str">
        <x:v>StructuredPrompting</x:v>
      </x:c>
      <x:c r="H268" s="6" t="str">
        <x:v>采用结构化提示模板，包含Prompt ID、Context、Input Data、Prompt和Expected Outcome五个部分，以增强软件制品的可追溯性。</x:v>
      </x:c>
      <x:c r="I268" s="2" t="str">
        <x:v>Yes</x:v>
      </x:c>
      <x:c r="J268" s="2"/>
      <x:c r="K268" s="6" t="str">
        <x:v>Prompt design</x:v>
      </x:c>
      <x:c r="L268" s="2" t="str">
        <x:v>Structured/template prompting</x:v>
      </x:c>
      <x:c r="M268" s="2" t="str">
        <x:v>Structured/template prompting</x:v>
      </x:c>
      <x:c r="N268" s="2" t="str">
        <x:v>Yes</x:v>
      </x:c>
      <x:c r="O268" s="2" t="str">
        <x:v>Full prompt reported</x:v>
      </x:c>
      <x:c r="P268" s="2" t="str">
        <x:v>NR</x:v>
      </x:c>
      <x:c r="Q268" s="2" t="str">
        <x:v>No</x:v>
      </x:c>
      <x:c r="R268" s="2" t="str">
        <x:v>No</x:v>
      </x:c>
      <x:c r="S268" s="2" t="str">
        <x:v>No</x:v>
      </x:c>
      <x:c r="T268" s="2" t="str">
        <x:v>NR</x:v>
      </x:c>
      <x:c r="U268" s="6" t="str">
        <x:v>p. 5; Structured Prompt Design section</x:v>
      </x:c>
      <x:c r="V26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8" s="6" t="str">
        <x:v>结构化提示设计是核心配置特征，所有LLM调用均采用此模板以提高可追溯性。</x:v>
      </x:c>
      <x:c r="X268" s="6" t="str">
        <x:v>Appendix提供了所有活动的完整结构化提示。; shared feature split by model use and operation</x:v>
      </x:c>
    </x:row>
    <x:row r="269" ht="76" customHeight="1">
      <x:c r="A269" s="2" t="str">
        <x:v>S46</x:v>
      </x:c>
      <x:c r="B269" s="2" t="str">
        <x:v>S46-CF39</x:v>
      </x:c>
      <x:c r="C269" s="2" t="str">
        <x:v>S46-MU39</x:v>
      </x:c>
      <x:c r="D269" s="2" t="str">
        <x:v>S46-O09</x:v>
      </x:c>
      <x:c r="E269" s="2" t="str">
        <x:v>Prompting</x:v>
      </x:c>
      <x:c r="F269" s="2" t="str">
        <x:v>Structured Prompt Design</x:v>
      </x:c>
      <x:c r="G269" s="2" t="str">
        <x:v>StructuredPrompting</x:v>
      </x:c>
      <x:c r="H269" s="6" t="str">
        <x:v>采用结构化提示模板，包含Prompt ID、Context、Input Data、Prompt和Expected Outcome五个部分，以增强软件制品的可追溯性。</x:v>
      </x:c>
      <x:c r="I269" s="2" t="str">
        <x:v>Yes</x:v>
      </x:c>
      <x:c r="J269" s="2"/>
      <x:c r="K269" s="6" t="str">
        <x:v>Prompt design</x:v>
      </x:c>
      <x:c r="L269" s="2" t="str">
        <x:v>Structured/template prompting</x:v>
      </x:c>
      <x:c r="M269" s="2" t="str">
        <x:v>Structured/template prompting</x:v>
      </x:c>
      <x:c r="N269" s="2" t="str">
        <x:v>Yes</x:v>
      </x:c>
      <x:c r="O269" s="2" t="str">
        <x:v>Full prompt reported</x:v>
      </x:c>
      <x:c r="P269" s="2" t="str">
        <x:v>NR</x:v>
      </x:c>
      <x:c r="Q269" s="2" t="str">
        <x:v>No</x:v>
      </x:c>
      <x:c r="R269" s="2" t="str">
        <x:v>No</x:v>
      </x:c>
      <x:c r="S269" s="2" t="str">
        <x:v>No</x:v>
      </x:c>
      <x:c r="T269" s="2" t="str">
        <x:v>NR</x:v>
      </x:c>
      <x:c r="U269" s="6" t="str">
        <x:v>p. 5; Structured Prompt Design section</x:v>
      </x:c>
      <x:c r="V26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69" s="6" t="str">
        <x:v>结构化提示设计是核心配置特征，所有LLM调用均采用此模板以提高可追溯性。</x:v>
      </x:c>
      <x:c r="X269" s="6" t="str">
        <x:v>Appendix提供了所有活动的完整结构化提示。; shared feature split by model use and operation</x:v>
      </x:c>
    </x:row>
    <x:row r="270" ht="76" customHeight="1">
      <x:c r="A270" s="2" t="str">
        <x:v>S46</x:v>
      </x:c>
      <x:c r="B270" s="2" t="str">
        <x:v>S46-CF40</x:v>
      </x:c>
      <x:c r="C270" s="2" t="str">
        <x:v>S46-MU40</x:v>
      </x:c>
      <x:c r="D270" s="2" t="str">
        <x:v>S46-O10</x:v>
      </x:c>
      <x:c r="E270" s="2" t="str">
        <x:v>Prompting</x:v>
      </x:c>
      <x:c r="F270" s="2" t="str">
        <x:v>Structured Prompt Design</x:v>
      </x:c>
      <x:c r="G270" s="2" t="str">
        <x:v>StructuredPrompting</x:v>
      </x:c>
      <x:c r="H270" s="6" t="str">
        <x:v>采用结构化提示模板，包含Prompt ID、Context、Input Data、Prompt和Expected Outcome五个部分，以增强软件制品的可追溯性。</x:v>
      </x:c>
      <x:c r="I270" s="2" t="str">
        <x:v>Yes</x:v>
      </x:c>
      <x:c r="J270" s="2"/>
      <x:c r="K270" s="6" t="str">
        <x:v>Prompt design</x:v>
      </x:c>
      <x:c r="L270" s="2" t="str">
        <x:v>Structured/template prompting</x:v>
      </x:c>
      <x:c r="M270" s="2" t="str">
        <x:v>Structured/template prompting</x:v>
      </x:c>
      <x:c r="N270" s="2" t="str">
        <x:v>Yes</x:v>
      </x:c>
      <x:c r="O270" s="2" t="str">
        <x:v>Full prompt reported</x:v>
      </x:c>
      <x:c r="P270" s="2" t="str">
        <x:v>NR</x:v>
      </x:c>
      <x:c r="Q270" s="2" t="str">
        <x:v>No</x:v>
      </x:c>
      <x:c r="R270" s="2" t="str">
        <x:v>No</x:v>
      </x:c>
      <x:c r="S270" s="2" t="str">
        <x:v>No</x:v>
      </x:c>
      <x:c r="T270" s="2" t="str">
        <x:v>NR</x:v>
      </x:c>
      <x:c r="U270" s="6" t="str">
        <x:v>p. 5; Structured Prompt Design section</x:v>
      </x:c>
      <x:c r="V27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0" s="6" t="str">
        <x:v>结构化提示设计是核心配置特征，所有LLM调用均采用此模板以提高可追溯性。</x:v>
      </x:c>
      <x:c r="X270" s="6" t="str">
        <x:v>Appendix提供了所有活动的完整结构化提示。; shared feature split by model use and operation</x:v>
      </x:c>
    </x:row>
    <x:row r="271" ht="76" customHeight="1">
      <x:c r="A271" s="2" t="str">
        <x:v>S46</x:v>
      </x:c>
      <x:c r="B271" s="2" t="str">
        <x:v>S46-CF41</x:v>
      </x:c>
      <x:c r="C271" s="2" t="str">
        <x:v>S46-MU41</x:v>
      </x:c>
      <x:c r="D271" s="2" t="str">
        <x:v>S46-O01</x:v>
      </x:c>
      <x:c r="E271" s="2" t="str">
        <x:v>Prompting</x:v>
      </x:c>
      <x:c r="F271" s="2" t="str">
        <x:v>Structured Prompt Design</x:v>
      </x:c>
      <x:c r="G271" s="2" t="str">
        <x:v>StructuredPrompting</x:v>
      </x:c>
      <x:c r="H271" s="6" t="str">
        <x:v>采用结构化提示模板，包含Prompt ID、Context、Input Data、Prompt和Expected Outcome五个部分，以增强软件制品的可追溯性。</x:v>
      </x:c>
      <x:c r="I271" s="2" t="str">
        <x:v>Yes</x:v>
      </x:c>
      <x:c r="J271" s="2"/>
      <x:c r="K271" s="6" t="str">
        <x:v>Prompt design</x:v>
      </x:c>
      <x:c r="L271" s="2" t="str">
        <x:v>Structured/template prompting</x:v>
      </x:c>
      <x:c r="M271" s="2" t="str">
        <x:v>Structured/template prompting</x:v>
      </x:c>
      <x:c r="N271" s="2" t="str">
        <x:v>Yes</x:v>
      </x:c>
      <x:c r="O271" s="2" t="str">
        <x:v>Full prompt reported</x:v>
      </x:c>
      <x:c r="P271" s="2" t="str">
        <x:v>NR</x:v>
      </x:c>
      <x:c r="Q271" s="2" t="str">
        <x:v>No</x:v>
      </x:c>
      <x:c r="R271" s="2" t="str">
        <x:v>No</x:v>
      </x:c>
      <x:c r="S271" s="2" t="str">
        <x:v>No</x:v>
      </x:c>
      <x:c r="T271" s="2" t="str">
        <x:v>NR</x:v>
      </x:c>
      <x:c r="U271" s="6" t="str">
        <x:v>p. 5; Structured Prompt Design section</x:v>
      </x:c>
      <x:c r="V27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1" s="6" t="str">
        <x:v>结构化提示设计是核心配置特征，所有LLM调用均采用此模板以提高可追溯性。</x:v>
      </x:c>
      <x:c r="X271" s="6" t="str">
        <x:v>Appendix提供了所有活动的完整结构化提示。; shared feature split by model use and operation</x:v>
      </x:c>
    </x:row>
    <x:row r="272" ht="76" customHeight="1">
      <x:c r="A272" s="2" t="str">
        <x:v>S46</x:v>
      </x:c>
      <x:c r="B272" s="2" t="str">
        <x:v>S46-CF42</x:v>
      </x:c>
      <x:c r="C272" s="2" t="str">
        <x:v>S46-MU42</x:v>
      </x:c>
      <x:c r="D272" s="2" t="str">
        <x:v>S46-O02</x:v>
      </x:c>
      <x:c r="E272" s="2" t="str">
        <x:v>Prompting</x:v>
      </x:c>
      <x:c r="F272" s="2" t="str">
        <x:v>Structured Prompt Design</x:v>
      </x:c>
      <x:c r="G272" s="2" t="str">
        <x:v>StructuredPrompting</x:v>
      </x:c>
      <x:c r="H272" s="6" t="str">
        <x:v>采用结构化提示模板，包含Prompt ID、Context、Input Data、Prompt和Expected Outcome五个部分，以增强软件制品的可追溯性。</x:v>
      </x:c>
      <x:c r="I272" s="2" t="str">
        <x:v>Yes</x:v>
      </x:c>
      <x:c r="J272" s="2"/>
      <x:c r="K272" s="6" t="str">
        <x:v>Prompt design</x:v>
      </x:c>
      <x:c r="L272" s="2" t="str">
        <x:v>Structured/template prompting</x:v>
      </x:c>
      <x:c r="M272" s="2" t="str">
        <x:v>Structured/template prompting</x:v>
      </x:c>
      <x:c r="N272" s="2" t="str">
        <x:v>Yes</x:v>
      </x:c>
      <x:c r="O272" s="2" t="str">
        <x:v>Full prompt reported</x:v>
      </x:c>
      <x:c r="P272" s="2" t="str">
        <x:v>NR</x:v>
      </x:c>
      <x:c r="Q272" s="2" t="str">
        <x:v>No</x:v>
      </x:c>
      <x:c r="R272" s="2" t="str">
        <x:v>No</x:v>
      </x:c>
      <x:c r="S272" s="2" t="str">
        <x:v>No</x:v>
      </x:c>
      <x:c r="T272" s="2" t="str">
        <x:v>NR</x:v>
      </x:c>
      <x:c r="U272" s="6" t="str">
        <x:v>p. 5; Structured Prompt Design section</x:v>
      </x:c>
      <x:c r="V27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2" s="6" t="str">
        <x:v>结构化提示设计是核心配置特征，所有LLM调用均采用此模板以提高可追溯性。</x:v>
      </x:c>
      <x:c r="X272" s="6" t="str">
        <x:v>Appendix提供了所有活动的完整结构化提示。; shared feature split by model use and operation</x:v>
      </x:c>
    </x:row>
    <x:row r="273" ht="76" customHeight="1">
      <x:c r="A273" s="2" t="str">
        <x:v>S46</x:v>
      </x:c>
      <x:c r="B273" s="2" t="str">
        <x:v>S46-CF43</x:v>
      </x:c>
      <x:c r="C273" s="2" t="str">
        <x:v>S46-MU43</x:v>
      </x:c>
      <x:c r="D273" s="2" t="str">
        <x:v>S46-O03</x:v>
      </x:c>
      <x:c r="E273" s="2" t="str">
        <x:v>Prompting</x:v>
      </x:c>
      <x:c r="F273" s="2" t="str">
        <x:v>Structured Prompt Design</x:v>
      </x:c>
      <x:c r="G273" s="2" t="str">
        <x:v>StructuredPrompting</x:v>
      </x:c>
      <x:c r="H273" s="6" t="str">
        <x:v>采用结构化提示模板，包含Prompt ID、Context、Input Data、Prompt和Expected Outcome五个部分，以增强软件制品的可追溯性。</x:v>
      </x:c>
      <x:c r="I273" s="2" t="str">
        <x:v>Yes</x:v>
      </x:c>
      <x:c r="J273" s="2"/>
      <x:c r="K273" s="6" t="str">
        <x:v>Prompt design</x:v>
      </x:c>
      <x:c r="L273" s="2" t="str">
        <x:v>Structured/template prompting</x:v>
      </x:c>
      <x:c r="M273" s="2" t="str">
        <x:v>Structured/template prompting</x:v>
      </x:c>
      <x:c r="N273" s="2" t="str">
        <x:v>Yes</x:v>
      </x:c>
      <x:c r="O273" s="2" t="str">
        <x:v>Full prompt reported</x:v>
      </x:c>
      <x:c r="P273" s="2" t="str">
        <x:v>NR</x:v>
      </x:c>
      <x:c r="Q273" s="2" t="str">
        <x:v>No</x:v>
      </x:c>
      <x:c r="R273" s="2" t="str">
        <x:v>No</x:v>
      </x:c>
      <x:c r="S273" s="2" t="str">
        <x:v>No</x:v>
      </x:c>
      <x:c r="T273" s="2" t="str">
        <x:v>NR</x:v>
      </x:c>
      <x:c r="U273" s="6" t="str">
        <x:v>p. 5; Structured Prompt Design section</x:v>
      </x:c>
      <x:c r="V27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3" s="6" t="str">
        <x:v>结构化提示设计是核心配置特征，所有LLM调用均采用此模板以提高可追溯性。</x:v>
      </x:c>
      <x:c r="X273" s="6" t="str">
        <x:v>Appendix提供了所有活动的完整结构化提示。; shared feature split by model use and operation</x:v>
      </x:c>
    </x:row>
    <x:row r="274" ht="76" customHeight="1">
      <x:c r="A274" s="2" t="str">
        <x:v>S46</x:v>
      </x:c>
      <x:c r="B274" s="2" t="str">
        <x:v>S46-CF44</x:v>
      </x:c>
      <x:c r="C274" s="2" t="str">
        <x:v>S46-MU44</x:v>
      </x:c>
      <x:c r="D274" s="2" t="str">
        <x:v>S46-O04</x:v>
      </x:c>
      <x:c r="E274" s="2" t="str">
        <x:v>Prompting</x:v>
      </x:c>
      <x:c r="F274" s="2" t="str">
        <x:v>Structured Prompt Design</x:v>
      </x:c>
      <x:c r="G274" s="2" t="str">
        <x:v>StructuredPrompting</x:v>
      </x:c>
      <x:c r="H274" s="6" t="str">
        <x:v>采用结构化提示模板，包含Prompt ID、Context、Input Data、Prompt和Expected Outcome五个部分，以增强软件制品的可追溯性。</x:v>
      </x:c>
      <x:c r="I274" s="2" t="str">
        <x:v>Yes</x:v>
      </x:c>
      <x:c r="J274" s="2"/>
      <x:c r="K274" s="6" t="str">
        <x:v>Prompt design</x:v>
      </x:c>
      <x:c r="L274" s="2" t="str">
        <x:v>Structured/template prompting</x:v>
      </x:c>
      <x:c r="M274" s="2" t="str">
        <x:v>Structured/template prompting</x:v>
      </x:c>
      <x:c r="N274" s="2" t="str">
        <x:v>Yes</x:v>
      </x:c>
      <x:c r="O274" s="2" t="str">
        <x:v>Full prompt reported</x:v>
      </x:c>
      <x:c r="P274" s="2" t="str">
        <x:v>NR</x:v>
      </x:c>
      <x:c r="Q274" s="2" t="str">
        <x:v>No</x:v>
      </x:c>
      <x:c r="R274" s="2" t="str">
        <x:v>No</x:v>
      </x:c>
      <x:c r="S274" s="2" t="str">
        <x:v>No</x:v>
      </x:c>
      <x:c r="T274" s="2" t="str">
        <x:v>NR</x:v>
      </x:c>
      <x:c r="U274" s="6" t="str">
        <x:v>p. 5; Structured Prompt Design section</x:v>
      </x:c>
      <x:c r="V27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4" s="6" t="str">
        <x:v>结构化提示设计是核心配置特征，所有LLM调用均采用此模板以提高可追溯性。</x:v>
      </x:c>
      <x:c r="X274" s="6" t="str">
        <x:v>Appendix提供了所有活动的完整结构化提示。; shared feature split by model use and operation</x:v>
      </x:c>
    </x:row>
    <x:row r="275" ht="76" customHeight="1">
      <x:c r="A275" s="2" t="str">
        <x:v>S46</x:v>
      </x:c>
      <x:c r="B275" s="2" t="str">
        <x:v>S46-CF45</x:v>
      </x:c>
      <x:c r="C275" s="2" t="str">
        <x:v>S46-MU45</x:v>
      </x:c>
      <x:c r="D275" s="2" t="str">
        <x:v>S46-O05</x:v>
      </x:c>
      <x:c r="E275" s="2" t="str">
        <x:v>Prompting</x:v>
      </x:c>
      <x:c r="F275" s="2" t="str">
        <x:v>Structured Prompt Design</x:v>
      </x:c>
      <x:c r="G275" s="2" t="str">
        <x:v>StructuredPrompting</x:v>
      </x:c>
      <x:c r="H275" s="6" t="str">
        <x:v>采用结构化提示模板，包含Prompt ID、Context、Input Data、Prompt和Expected Outcome五个部分，以增强软件制品的可追溯性。</x:v>
      </x:c>
      <x:c r="I275" s="2" t="str">
        <x:v>Yes</x:v>
      </x:c>
      <x:c r="J275" s="2"/>
      <x:c r="K275" s="6" t="str">
        <x:v>Prompt design</x:v>
      </x:c>
      <x:c r="L275" s="2" t="str">
        <x:v>Structured/template prompting</x:v>
      </x:c>
      <x:c r="M275" s="2" t="str">
        <x:v>Structured/template prompting</x:v>
      </x:c>
      <x:c r="N275" s="2" t="str">
        <x:v>Yes</x:v>
      </x:c>
      <x:c r="O275" s="2" t="str">
        <x:v>Full prompt reported</x:v>
      </x:c>
      <x:c r="P275" s="2" t="str">
        <x:v>NR</x:v>
      </x:c>
      <x:c r="Q275" s="2" t="str">
        <x:v>No</x:v>
      </x:c>
      <x:c r="R275" s="2" t="str">
        <x:v>No</x:v>
      </x:c>
      <x:c r="S275" s="2" t="str">
        <x:v>No</x:v>
      </x:c>
      <x:c r="T275" s="2" t="str">
        <x:v>NR</x:v>
      </x:c>
      <x:c r="U275" s="6" t="str">
        <x:v>p. 5; Structured Prompt Design section</x:v>
      </x:c>
      <x:c r="V27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5" s="6" t="str">
        <x:v>结构化提示设计是核心配置特征，所有LLM调用均采用此模板以提高可追溯性。</x:v>
      </x:c>
      <x:c r="X275" s="6" t="str">
        <x:v>Appendix提供了所有活动的完整结构化提示。; shared feature split by model use and operation</x:v>
      </x:c>
    </x:row>
    <x:row r="276" ht="76" customHeight="1">
      <x:c r="A276" s="2" t="str">
        <x:v>S46</x:v>
      </x:c>
      <x:c r="B276" s="2" t="str">
        <x:v>S46-CF46</x:v>
      </x:c>
      <x:c r="C276" s="2" t="str">
        <x:v>S46-MU46</x:v>
      </x:c>
      <x:c r="D276" s="2" t="str">
        <x:v>S46-O06</x:v>
      </x:c>
      <x:c r="E276" s="2" t="str">
        <x:v>Prompting</x:v>
      </x:c>
      <x:c r="F276" s="2" t="str">
        <x:v>Structured Prompt Design</x:v>
      </x:c>
      <x:c r="G276" s="2" t="str">
        <x:v>StructuredPrompting</x:v>
      </x:c>
      <x:c r="H276" s="6" t="str">
        <x:v>采用结构化提示模板，包含Prompt ID、Context、Input Data、Prompt和Expected Outcome五个部分，以增强软件制品的可追溯性。</x:v>
      </x:c>
      <x:c r="I276" s="2" t="str">
        <x:v>Yes</x:v>
      </x:c>
      <x:c r="J276" s="2"/>
      <x:c r="K276" s="6" t="str">
        <x:v>Prompt design</x:v>
      </x:c>
      <x:c r="L276" s="2" t="str">
        <x:v>Structured/template prompting</x:v>
      </x:c>
      <x:c r="M276" s="2" t="str">
        <x:v>Structured/template prompting</x:v>
      </x:c>
      <x:c r="N276" s="2" t="str">
        <x:v>Yes</x:v>
      </x:c>
      <x:c r="O276" s="2" t="str">
        <x:v>Full prompt reported</x:v>
      </x:c>
      <x:c r="P276" s="2" t="str">
        <x:v>NR</x:v>
      </x:c>
      <x:c r="Q276" s="2" t="str">
        <x:v>No</x:v>
      </x:c>
      <x:c r="R276" s="2" t="str">
        <x:v>No</x:v>
      </x:c>
      <x:c r="S276" s="2" t="str">
        <x:v>No</x:v>
      </x:c>
      <x:c r="T276" s="2" t="str">
        <x:v>NR</x:v>
      </x:c>
      <x:c r="U276" s="6" t="str">
        <x:v>p. 5; Structured Prompt Design section</x:v>
      </x:c>
      <x:c r="V27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6" s="6" t="str">
        <x:v>结构化提示设计是核心配置特征，所有LLM调用均采用此模板以提高可追溯性。</x:v>
      </x:c>
      <x:c r="X276" s="6" t="str">
        <x:v>Appendix提供了所有活动的完整结构化提示。; shared feature split by model use and operation</x:v>
      </x:c>
    </x:row>
    <x:row r="277" ht="76" customHeight="1">
      <x:c r="A277" s="2" t="str">
        <x:v>S46</x:v>
      </x:c>
      <x:c r="B277" s="2" t="str">
        <x:v>S46-CF47</x:v>
      </x:c>
      <x:c r="C277" s="2" t="str">
        <x:v>S46-MU47</x:v>
      </x:c>
      <x:c r="D277" s="2" t="str">
        <x:v>S46-O07</x:v>
      </x:c>
      <x:c r="E277" s="2" t="str">
        <x:v>Prompting</x:v>
      </x:c>
      <x:c r="F277" s="2" t="str">
        <x:v>Structured Prompt Design</x:v>
      </x:c>
      <x:c r="G277" s="2" t="str">
        <x:v>StructuredPrompting</x:v>
      </x:c>
      <x:c r="H277" s="6" t="str">
        <x:v>采用结构化提示模板，包含Prompt ID、Context、Input Data、Prompt和Expected Outcome五个部分，以增强软件制品的可追溯性。</x:v>
      </x:c>
      <x:c r="I277" s="2" t="str">
        <x:v>Yes</x:v>
      </x:c>
      <x:c r="J277" s="2"/>
      <x:c r="K277" s="6" t="str">
        <x:v>Prompt design</x:v>
      </x:c>
      <x:c r="L277" s="2" t="str">
        <x:v>Structured/template prompting</x:v>
      </x:c>
      <x:c r="M277" s="2" t="str">
        <x:v>Structured/template prompting</x:v>
      </x:c>
      <x:c r="N277" s="2" t="str">
        <x:v>Yes</x:v>
      </x:c>
      <x:c r="O277" s="2" t="str">
        <x:v>Full prompt reported</x:v>
      </x:c>
      <x:c r="P277" s="2" t="str">
        <x:v>NR</x:v>
      </x:c>
      <x:c r="Q277" s="2" t="str">
        <x:v>No</x:v>
      </x:c>
      <x:c r="R277" s="2" t="str">
        <x:v>No</x:v>
      </x:c>
      <x:c r="S277" s="2" t="str">
        <x:v>No</x:v>
      </x:c>
      <x:c r="T277" s="2" t="str">
        <x:v>NR</x:v>
      </x:c>
      <x:c r="U277" s="6" t="str">
        <x:v>p. 5; Structured Prompt Design section</x:v>
      </x:c>
      <x:c r="V27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7" s="6" t="str">
        <x:v>结构化提示设计是核心配置特征，所有LLM调用均采用此模板以提高可追溯性。</x:v>
      </x:c>
      <x:c r="X277" s="6" t="str">
        <x:v>Appendix提供了所有活动的完整结构化提示。; shared feature split by model use and operation</x:v>
      </x:c>
    </x:row>
    <x:row r="278" ht="76" customHeight="1">
      <x:c r="A278" s="2" t="str">
        <x:v>S46</x:v>
      </x:c>
      <x:c r="B278" s="2" t="str">
        <x:v>S46-CF48</x:v>
      </x:c>
      <x:c r="C278" s="2" t="str">
        <x:v>S46-MU48</x:v>
      </x:c>
      <x:c r="D278" s="2" t="str">
        <x:v>S46-O08</x:v>
      </x:c>
      <x:c r="E278" s="2" t="str">
        <x:v>Prompting</x:v>
      </x:c>
      <x:c r="F278" s="2" t="str">
        <x:v>Structured Prompt Design</x:v>
      </x:c>
      <x:c r="G278" s="2" t="str">
        <x:v>StructuredPrompting</x:v>
      </x:c>
      <x:c r="H278" s="6" t="str">
        <x:v>采用结构化提示模板，包含Prompt ID、Context、Input Data、Prompt和Expected Outcome五个部分，以增强软件制品的可追溯性。</x:v>
      </x:c>
      <x:c r="I278" s="2" t="str">
        <x:v>Yes</x:v>
      </x:c>
      <x:c r="J278" s="2"/>
      <x:c r="K278" s="6" t="str">
        <x:v>Prompt design</x:v>
      </x:c>
      <x:c r="L278" s="2" t="str">
        <x:v>Structured/template prompting</x:v>
      </x:c>
      <x:c r="M278" s="2" t="str">
        <x:v>Structured/template prompting</x:v>
      </x:c>
      <x:c r="N278" s="2" t="str">
        <x:v>Yes</x:v>
      </x:c>
      <x:c r="O278" s="2" t="str">
        <x:v>Full prompt reported</x:v>
      </x:c>
      <x:c r="P278" s="2" t="str">
        <x:v>NR</x:v>
      </x:c>
      <x:c r="Q278" s="2" t="str">
        <x:v>No</x:v>
      </x:c>
      <x:c r="R278" s="2" t="str">
        <x:v>No</x:v>
      </x:c>
      <x:c r="S278" s="2" t="str">
        <x:v>No</x:v>
      </x:c>
      <x:c r="T278" s="2" t="str">
        <x:v>NR</x:v>
      </x:c>
      <x:c r="U278" s="6" t="str">
        <x:v>p. 5; Structured Prompt Design section</x:v>
      </x:c>
      <x:c r="V27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8" s="6" t="str">
        <x:v>结构化提示设计是核心配置特征，所有LLM调用均采用此模板以提高可追溯性。</x:v>
      </x:c>
      <x:c r="X278" s="6" t="str">
        <x:v>Appendix提供了所有活动的完整结构化提示。; shared feature split by model use and operation</x:v>
      </x:c>
    </x:row>
    <x:row r="279" ht="76" customHeight="1">
      <x:c r="A279" s="2" t="str">
        <x:v>S46</x:v>
      </x:c>
      <x:c r="B279" s="2" t="str">
        <x:v>S46-CF49</x:v>
      </x:c>
      <x:c r="C279" s="2" t="str">
        <x:v>S46-MU49</x:v>
      </x:c>
      <x:c r="D279" s="2" t="str">
        <x:v>S46-O09</x:v>
      </x:c>
      <x:c r="E279" s="2" t="str">
        <x:v>Prompting</x:v>
      </x:c>
      <x:c r="F279" s="2" t="str">
        <x:v>Structured Prompt Design</x:v>
      </x:c>
      <x:c r="G279" s="2" t="str">
        <x:v>StructuredPrompting</x:v>
      </x:c>
      <x:c r="H279" s="6" t="str">
        <x:v>采用结构化提示模板，包含Prompt ID、Context、Input Data、Prompt和Expected Outcome五个部分，以增强软件制品的可追溯性。</x:v>
      </x:c>
      <x:c r="I279" s="2" t="str">
        <x:v>Yes</x:v>
      </x:c>
      <x:c r="J279" s="2"/>
      <x:c r="K279" s="6" t="str">
        <x:v>Prompt design</x:v>
      </x:c>
      <x:c r="L279" s="2" t="str">
        <x:v>Structured/template prompting</x:v>
      </x:c>
      <x:c r="M279" s="2" t="str">
        <x:v>Structured/template prompting</x:v>
      </x:c>
      <x:c r="N279" s="2" t="str">
        <x:v>Yes</x:v>
      </x:c>
      <x:c r="O279" s="2" t="str">
        <x:v>Full prompt reported</x:v>
      </x:c>
      <x:c r="P279" s="2" t="str">
        <x:v>NR</x:v>
      </x:c>
      <x:c r="Q279" s="2" t="str">
        <x:v>No</x:v>
      </x:c>
      <x:c r="R279" s="2" t="str">
        <x:v>No</x:v>
      </x:c>
      <x:c r="S279" s="2" t="str">
        <x:v>No</x:v>
      </x:c>
      <x:c r="T279" s="2" t="str">
        <x:v>NR</x:v>
      </x:c>
      <x:c r="U279" s="6" t="str">
        <x:v>p. 5; Structured Prompt Design section</x:v>
      </x:c>
      <x:c r="V27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79" s="6" t="str">
        <x:v>结构化提示设计是核心配置特征，所有LLM调用均采用此模板以提高可追溯性。</x:v>
      </x:c>
      <x:c r="X279" s="6" t="str">
        <x:v>Appendix提供了所有活动的完整结构化提示。; shared feature split by model use and operation</x:v>
      </x:c>
    </x:row>
    <x:row r="280" ht="76" customHeight="1">
      <x:c r="A280" s="2" t="str">
        <x:v>S46</x:v>
      </x:c>
      <x:c r="B280" s="2" t="str">
        <x:v>S46-CF50</x:v>
      </x:c>
      <x:c r="C280" s="2" t="str">
        <x:v>S46-MU50</x:v>
      </x:c>
      <x:c r="D280" s="2" t="str">
        <x:v>S46-O10</x:v>
      </x:c>
      <x:c r="E280" s="2" t="str">
        <x:v>Prompting</x:v>
      </x:c>
      <x:c r="F280" s="2" t="str">
        <x:v>Structured Prompt Design</x:v>
      </x:c>
      <x:c r="G280" s="2" t="str">
        <x:v>StructuredPrompting</x:v>
      </x:c>
      <x:c r="H280" s="6" t="str">
        <x:v>采用结构化提示模板，包含Prompt ID、Context、Input Data、Prompt和Expected Outcome五个部分，以增强软件制品的可追溯性。</x:v>
      </x:c>
      <x:c r="I280" s="2" t="str">
        <x:v>Yes</x:v>
      </x:c>
      <x:c r="J280" s="2"/>
      <x:c r="K280" s="6" t="str">
        <x:v>Prompt design</x:v>
      </x:c>
      <x:c r="L280" s="2" t="str">
        <x:v>Structured/template prompting</x:v>
      </x:c>
      <x:c r="M280" s="2" t="str">
        <x:v>Structured/template prompting</x:v>
      </x:c>
      <x:c r="N280" s="2" t="str">
        <x:v>Yes</x:v>
      </x:c>
      <x:c r="O280" s="2" t="str">
        <x:v>Full prompt reported</x:v>
      </x:c>
      <x:c r="P280" s="2" t="str">
        <x:v>NR</x:v>
      </x:c>
      <x:c r="Q280" s="2" t="str">
        <x:v>No</x:v>
      </x:c>
      <x:c r="R280" s="2" t="str">
        <x:v>No</x:v>
      </x:c>
      <x:c r="S280" s="2" t="str">
        <x:v>No</x:v>
      </x:c>
      <x:c r="T280" s="2" t="str">
        <x:v>NR</x:v>
      </x:c>
      <x:c r="U280" s="6" t="str">
        <x:v>p. 5; Structured Prompt Design section</x:v>
      </x:c>
      <x:c r="V28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W280" s="6" t="str">
        <x:v>结构化提示设计是核心配置特征，所有LLM调用均采用此模板以提高可追溯性。</x:v>
      </x:c>
      <x:c r="X280" s="6" t="str">
        <x:v>Appendix提供了所有活动的完整结构化提示。; shared feature split by model use and operation</x:v>
      </x:c>
    </x:row>
    <x:row r="281" ht="76" customHeight="1">
      <x:c r="A281" s="2" t="str">
        <x:v>S47</x:v>
      </x:c>
      <x:c r="B281" s="2" t="str">
        <x:v>S47-CF01</x:v>
      </x:c>
      <x:c r="C281" s="2" t="str">
        <x:v>S47-MU05</x:v>
      </x:c>
      <x:c r="D281" s="2" t="str">
        <x:v>S47-O01</x:v>
      </x:c>
      <x:c r="E281" s="2" t="str">
        <x:v>Output constraint</x:v>
      </x:c>
      <x:c r="F281" s="2" t="str">
        <x:v>Markdown structure generation</x:v>
      </x:c>
      <x:c r="G281" s="2" t="str">
        <x:v>output_constraint_md</x:v>
      </x:c>
      <x:c r="H281" s="6" t="str">
        <x:v>LLM 被约束以生成特定格式的 Markdown 文件（如 folder_structure.md），其中包含每个文件的详细描述，作为后续步骤的标准化输入</x:v>
      </x:c>
      <x:c r="I281" s="2" t="str">
        <x:v>Yes</x:v>
      </x:c>
      <x:c r="J281" s="2"/>
      <x:c r="K281" s="6" t="str">
        <x:v>Output specification</x:v>
      </x:c>
      <x:c r="L281" s="2" t="str">
        <x:v>Structured output format</x:v>
      </x:c>
      <x:c r="M281" s="2"/>
      <x:c r="N281" s="2" t="str">
        <x:v>No</x:v>
      </x:c>
      <x:c r="O281" s="2" t="str">
        <x:v>Not reported</x:v>
      </x:c>
      <x:c r="P281" s="2" t="str">
        <x:v>NR</x:v>
      </x:c>
      <x:c r="Q281" s="2" t="str">
        <x:v>NA</x:v>
      </x:c>
      <x:c r="R281" s="2" t="str">
        <x:v>NA</x:v>
      </x:c>
      <x:c r="S281" s="2" t="str">
        <x:v>No</x:v>
      </x:c>
      <x:c r="T281" s="2" t="str">
        <x:v>NR</x:v>
      </x:c>
      <x:c r="U281" s="6" t="str">
        <x:v>p. 8; Section 4.3 File Discovery</x:v>
      </x:c>
      <x:c r="V281" s="6" t="str">
        <x:v>LLM-based analysis using models such as Gemini 2.5 Flash [15] generates folder_structure.md files containing detailed descriptions of each file’s purpose and functionality.</x:v>
      </x:c>
      <x:c r="W281" s="6" t="str">
        <x:v>输出被明确指定为结构化的 Markdown 文件，以确保信息的一致性和下游处理</x:v>
      </x:c>
      <x:c r="X281" s="6" t="str">
        <x:v>NR</x:v>
      </x:c>
    </x:row>
    <x:row r="282" ht="76" customHeight="1">
      <x:c r="A282" s="2" t="str">
        <x:v>S47</x:v>
      </x:c>
      <x:c r="B282" s="2" t="str">
        <x:v>S47-CF02</x:v>
      </x:c>
      <x:c r="C282" s="2" t="str">
        <x:v>S47-MU05</x:v>
      </x:c>
      <x:c r="D282" s="2" t="str">
        <x:v>S47-O01</x:v>
      </x:c>
      <x:c r="E282" s="2" t="str">
        <x:v>Calling and orchestration</x:v>
      </x:c>
      <x:c r="F282" s="2" t="str">
        <x:v>Caching of generated structures</x:v>
      </x:c>
      <x:c r="G282" s="2" t="str">
        <x:v>caching_optimization</x:v>
      </x:c>
      <x:c r="H282" s="6" t="str">
        <x:v>采用缓存机制避免对已生成的结构文件重复调用 LLM，减少计算开销</x:v>
      </x:c>
      <x:c r="I282" s="2" t="str">
        <x:v>No</x:v>
      </x:c>
      <x:c r="J282" s="2" t="str">
        <x:v>External workflow control or validation is analysed under RQ5 rather than as an LLM-side configuration.</x:v>
      </x:c>
      <x:c r="K282" s="6" t="str">
        <x:v>RQ5 boundary record</x:v>
      </x:c>
      <x:c r="L282" s="2" t="str">
        <x:v>External orchestration or validation</x:v>
      </x:c>
      <x:c r="M282" s="2"/>
      <x:c r="N282" s="2" t="str">
        <x:v>NA</x:v>
      </x:c>
      <x:c r="O282" s="2" t="str">
        <x:v>NA</x:v>
      </x:c>
      <x:c r="P282" s="2" t="str">
        <x:v>NR</x:v>
      </x:c>
      <x:c r="Q282" s="2" t="str">
        <x:v>NA</x:v>
      </x:c>
      <x:c r="R282" s="2" t="str">
        <x:v>NA</x:v>
      </x:c>
      <x:c r="S282" s="2" t="str">
        <x:v>No</x:v>
      </x:c>
      <x:c r="T282" s="2" t="str">
        <x:v>缓存策略减少了冗余的 LLM 调用</x:v>
      </x:c>
      <x:c r="U282" s="6" t="str">
        <x:v>p. 8; Section 4.3 File Discovery</x:v>
      </x:c>
      <x:c r="V282" s="6" t="str">
        <x:v>A caching mechanism avoids regenerating existing structure files, while thread-safe processing handles concurrent folder analysis efficiently.</x:v>
      </x:c>
      <x:c r="W282" s="6" t="str">
        <x:v>该特征属于编排优化，直接减少了 LLM 的调用次数和总体 token 消耗</x:v>
      </x:c>
      <x:c r="X282" s="6" t="str">
        <x:v>NR</x:v>
      </x:c>
    </x:row>
    <x:row r="283" ht="76" customHeight="1">
      <x:c r="A283" s="2" t="str">
        <x:v>S47</x:v>
      </x:c>
      <x:c r="B283" s="2" t="str">
        <x:v>S47-CF03</x:v>
      </x:c>
      <x:c r="C283" s="2" t="str">
        <x:v>S47-MU05</x:v>
      </x:c>
      <x:c r="D283" s="2" t="str">
        <x:v>S47-O05</x:v>
      </x:c>
      <x:c r="E283" s="2" t="str">
        <x:v>Context construction</x:v>
      </x:c>
      <x:c r="F283" s="2" t="str">
        <x:v>Sequential validation with context</x:v>
      </x:c>
      <x:c r="G283" s="2" t="str">
        <x:v>sequential_context_validation</x:v>
      </x:c>
      <x:c r="H283" s="6" t="str">
        <x:v>验证步骤依序处理各规范章节，并利用前一章节的上下文信息（context_{i-1}）来辅助当前章节的验证决策</x:v>
      </x:c>
      <x:c r="I283" s="2" t="str">
        <x:v>Yes</x:v>
      </x:c>
      <x:c r="J283" s="2"/>
      <x:c r="K283" s="6" t="str">
        <x:v>Input and context construction</x:v>
      </x:c>
      <x:c r="L283" s="2" t="str">
        <x:v>Task-specific context organization</x:v>
      </x:c>
      <x:c r="M283" s="2"/>
      <x:c r="N283" s="2" t="str">
        <x:v>NA</x:v>
      </x:c>
      <x:c r="O283" s="2" t="str">
        <x:v>NA</x:v>
      </x:c>
      <x:c r="P283" s="2" t="str">
        <x:v>NR</x:v>
      </x:c>
      <x:c r="Q283" s="2" t="str">
        <x:v>NA</x:v>
      </x:c>
      <x:c r="R283" s="2" t="str">
        <x:v>NA</x:v>
      </x:c>
      <x:c r="S283" s="2" t="str">
        <x:v>No</x:v>
      </x:c>
      <x:c r="T283" s="2" t="str">
        <x:v>NR</x:v>
      </x:c>
      <x:c r="U283" s="6" t="str">
        <x:v>p. 9; Section 4.5 Validation &amp; Gap Analysis</x:v>
      </x:c>
      <x:c r="V283" s="6" t="str">
        <x:v>Formal Definition: The validation function processes mapping sequentially to maintain context: M4(si,Ei,contexti−1) = (E′</x:v>
      </x:c>
      <x:c r="W283" s="6" t="str">
        <x:v>通过传递上下文，提升了验证的连贯性和准确性，属于上下文构建策略</x:v>
      </x:c>
      <x:c r="X283" s="6" t="str">
        <x:v>NR</x:v>
      </x:c>
    </x:row>
    <x:row r="284" ht="76" customHeight="1">
      <x:c r="A284" s="2" t="str">
        <x:v>S48</x:v>
      </x:c>
      <x:c r="B284" s="2" t="str">
        <x:v>S48-CF01</x:v>
      </x:c>
      <x:c r="C284" s="2" t="str">
        <x:v>S48-MU01</x:v>
      </x:c>
      <x:c r="D284" s="2" t="str">
        <x:v>S48-O01</x:v>
      </x:c>
      <x:c r="E284" s="2" t="str">
        <x:v>Prompting</x:v>
      </x:c>
      <x:c r="F284" s="2" t="str">
        <x:v>Prompt for Text Enhancement</x:v>
      </x:c>
      <x:c r="G284" s="2" t="str">
        <x:v>text_enhancement_prompt</x:v>
      </x:c>
      <x:c r="H284" s="6" t="str">
        <x:v>设计了一个分层提示，指导LLM进行总结、关键信息提取、语义扩展和用户意图分析，并限制输出不超过250词。</x:v>
      </x:c>
      <x:c r="I284" s="2" t="str">
        <x:v>Yes</x:v>
      </x:c>
      <x:c r="J284" s="2"/>
      <x:c r="K284" s="6" t="str">
        <x:v>Prompt design</x:v>
      </x:c>
      <x:c r="L284" s="2" t="str">
        <x:v>Iterative or staged prompting</x:v>
      </x:c>
      <x:c r="M284" s="2" t="str">
        <x:v>Iterative or staged prompting</x:v>
      </x:c>
      <x:c r="N284" s="2" t="str">
        <x:v>Yes</x:v>
      </x:c>
      <x:c r="O284" s="2" t="str">
        <x:v>Template reported</x:v>
      </x:c>
      <x:c r="P284" s="2" t="str">
        <x:v>NA</x:v>
      </x:c>
      <x:c r="Q284" s="2" t="str">
        <x:v>No</x:v>
      </x:c>
      <x:c r="R284" s="2" t="str">
        <x:v>No</x:v>
      </x:c>
      <x:c r="S284" s="2" t="str">
        <x:v>No</x:v>
      </x:c>
      <x:c r="T284" s="2" t="str">
        <x:v>No</x:v>
      </x:c>
      <x:c r="U284" s="6" t="str">
        <x:v>p. 4; Section III-A.1, Figure 3</x:v>
      </x:c>
      <x:c r="V284" s="6" t="str">
        <x:v>As illustrated in Fig. 3, the enhancement process adopts a hierarchical understanding strategy that enables the LLM to progressively refine the issue text. In addition, we enforce a strict length constraint of fewer than 250 words on the generated output.</x:v>
      </x:c>
      <x:c r="W284" s="6" t="str">
        <x:v>通过结构化提示和长度约束控制LLM输出质量。</x:v>
      </x:c>
      <x:c r="X284" s="6" t="str">
        <x:v>Prompt template shown in Figure 3.</x:v>
      </x:c>
    </x:row>
    <x:row r="285" ht="76" customHeight="1">
      <x:c r="A285" s="2" t="str">
        <x:v>S48</x:v>
      </x:c>
      <x:c r="B285" s="2" t="str">
        <x:v>S48-CF02</x:v>
      </x:c>
      <x:c r="C285" s="2" t="str">
        <x:v>S48-MU02</x:v>
      </x:c>
      <x:c r="D285" s="2" t="str">
        <x:v>S48-O02</x:v>
      </x:c>
      <x:c r="E285" s="2" t="str">
        <x:v>Adaptation</x:v>
      </x:c>
      <x:c r="F285" s="2" t="str">
        <x:v>Hidden Layer Embedding Extraction</x:v>
      </x:c>
      <x:c r="G285" s="2" t="str">
        <x:v>hidden_layer_embedding</x:v>
      </x:c>
      <x:c r="H285" s="6" t="str">
        <x:v>不从LLM生成文本，而是提取中间隐藏层的输出作为固定长度的语义嵌入向量。</x:v>
      </x:c>
      <x:c r="I285" s="2" t="str">
        <x:v>Yes</x:v>
      </x:c>
      <x:c r="J285" s="2"/>
      <x:c r="K285" s="6" t="str">
        <x:v>Model representation use</x:v>
      </x:c>
      <x:c r="L285" s="2" t="str">
        <x:v>Hidden-layer representation extraction</x:v>
      </x:c>
      <x:c r="M285" s="2"/>
      <x:c r="N285" s="2" t="str">
        <x:v>NA</x:v>
      </x:c>
      <x:c r="O285" s="2" t="str">
        <x:v>NA</x:v>
      </x:c>
      <x:c r="P285" s="2" t="str">
        <x:v>NA</x:v>
      </x:c>
      <x:c r="Q285" s="2" t="str">
        <x:v>NA</x:v>
      </x:c>
      <x:c r="R285" s="2" t="str">
        <x:v>NA</x:v>
      </x:c>
      <x:c r="S285" s="2" t="str">
        <x:v>NA</x:v>
      </x:c>
      <x:c r="T285" s="2" t="str">
        <x:v>NA</x:v>
      </x:c>
      <x:c r="U285" s="6" t="str">
        <x:v>p. 4; Section III-A.2</x:v>
      </x:c>
      <x:c r="V285" s="6" t="str">
        <x:v>representations from an intermediate hidden layer are extracted as the semantic embedding of each issue.</x:v>
      </x:c>
      <x:c r="W285" s="6" t="str">
        <x:v>通过提取隐藏层特征的方式适配LLM用于嵌入生成。</x:v>
      </x:c>
      <x:c r="X285" s="6" t="str">
        <x:v>NR</x:v>
      </x:c>
    </x:row>
    <x:row r="286" ht="76" customHeight="1">
      <x:c r="A286" s="2" t="str">
        <x:v>S49</x:v>
      </x:c>
      <x:c r="B286" s="2" t="str">
        <x:v>S49-CF01</x:v>
      </x:c>
      <x:c r="C286" s="2" t="str">
        <x:v>S49-MU01</x:v>
      </x:c>
      <x:c r="D286" s="2" t="str">
        <x:v>S49-O01</x:v>
      </x:c>
      <x:c r="E286" s="2" t="str">
        <x:v>Prompting</x:v>
      </x:c>
      <x:c r="F286" s="2" t="str">
        <x:v>Cognitive Verifier</x:v>
      </x:c>
      <x:c r="G286" s="2" t="str">
        <x:v>cognitive_verifier</x:v>
      </x:c>
      <x:c r="H286" s="6" t="str">
        <x:v>使用 Cognitive Verifier 提示模式，要求模型先分解任務為子任務並組合後輸出最終答案。</x:v>
      </x:c>
      <x:c r="I286" s="2" t="str">
        <x:v>Yes</x:v>
      </x:c>
      <x:c r="J286" s="2"/>
      <x:c r="K286" s="6" t="str">
        <x:v>Prompt design</x:v>
      </x:c>
      <x:c r="L286" s="2" t="str">
        <x:v>Reasoning elicitation</x:v>
      </x:c>
      <x:c r="M286" s="2" t="str">
        <x:v>Reasoning elicitation</x:v>
      </x:c>
      <x:c r="N286" s="2" t="str">
        <x:v>Yes</x:v>
      </x:c>
      <x:c r="O286" s="2" t="str">
        <x:v>Full prompt reported</x:v>
      </x:c>
      <x:c r="P286" s="2" t="str">
        <x:v>NA</x:v>
      </x:c>
      <x:c r="Q286" s="2" t="str">
        <x:v>No</x:v>
      </x:c>
      <x:c r="R286" s="2" t="str">
        <x:v>No</x:v>
      </x:c>
      <x:c r="S286" s="2" t="str">
        <x:v>No</x:v>
      </x:c>
      <x:c r="T286" s="2" t="str">
        <x:v>NA</x:v>
      </x:c>
      <x:c r="U286" s="6" t="str">
        <x:v>p. 6; Table 1, Cognitive Verifier (Tracing column)</x:v>
      </x:c>
      <x:c r="V286" s="6" t="str">
        <x:v>List the IDs of requirements that are related to the [deprecated] feature in the requirements specification document below. Ask me questions if needed to break down the given task into smaller subtasks. All the outputs to the smaller subtasks must be combined before you generate the final output.</x:v>
      </x:c>
      <x:c r="W286" s="6" t="str">
        <x:v>提示中包含要求模型自我提問並分解任務的指令，屬於 Cognitive Verifier 模式。</x:v>
      </x:c>
      <x:c r="X286" s="6" t="str">
        <x:v>NA</x:v>
      </x:c>
    </x:row>
    <x:row r="287" ht="76" customHeight="1">
      <x:c r="A287" s="2" t="str">
        <x:v>S49</x:v>
      </x:c>
      <x:c r="B287" s="2" t="str">
        <x:v>S49-CF02</x:v>
      </x:c>
      <x:c r="C287" s="2" t="str">
        <x:v>S49-MU02</x:v>
      </x:c>
      <x:c r="D287" s="2" t="str">
        <x:v>S49-O01</x:v>
      </x:c>
      <x:c r="E287" s="2" t="str">
        <x:v>Prompting</x:v>
      </x:c>
      <x:c r="F287" s="2" t="str">
        <x:v>Context Manager</x:v>
      </x:c>
      <x:c r="G287" s="2" t="str">
        <x:v>context_manager</x:v>
      </x:c>
      <x:c r="H287" s="6" t="str">
        <x:v>使用 Context Manager 提示模式，要求模型解釋推理和假設，並處理潛在歧義。</x:v>
      </x:c>
      <x:c r="I287" s="2" t="str">
        <x:v>Yes</x:v>
      </x:c>
      <x:c r="J287" s="2"/>
      <x:c r="K287" s="6" t="str">
        <x:v>Prompt design</x:v>
      </x:c>
      <x:c r="L287" s="2" t="str">
        <x:v>Reasoning elicitation</x:v>
      </x:c>
      <x:c r="M287" s="2" t="str">
        <x:v>Reasoning elicitation</x:v>
      </x:c>
      <x:c r="N287" s="2" t="str">
        <x:v>Yes</x:v>
      </x:c>
      <x:c r="O287" s="2" t="str">
        <x:v>Full prompt reported</x:v>
      </x:c>
      <x:c r="P287" s="2" t="str">
        <x:v>NA</x:v>
      </x:c>
      <x:c r="Q287" s="2" t="str">
        <x:v>No</x:v>
      </x:c>
      <x:c r="R287" s="2" t="str">
        <x:v>No</x:v>
      </x:c>
      <x:c r="S287" s="2" t="str">
        <x:v>No</x:v>
      </x:c>
      <x:c r="T287" s="2" t="str">
        <x:v>NA</x:v>
      </x:c>
      <x:c r="U287" s="6" t="str">
        <x:v>p. 6; Table 1, Context Manager (Tracing column)</x:v>
      </x:c>
      <x:c r="V287" s="6" t="str">
        <x:v>List the IDs of requirements that are related to the [deprecated] feature from the requirements specification document below. When you provide an answer, please explain the reasoning and assumptions behind your response. If possible, address any potential ambiguities or limitations in your answer in order to provide a more complete and accurate response.</x:v>
      </x:c>
      <x:c r="W287" s="6" t="str">
        <x:v>提示中要求模型提供解釋和處理歧義，屬於 Context Manager 模式。</x:v>
      </x:c>
      <x:c r="X287" s="6" t="str">
        <x:v>NA</x:v>
      </x:c>
    </x:row>
    <x:row r="288" ht="76" customHeight="1">
      <x:c r="A288" s="2" t="str">
        <x:v>S49</x:v>
      </x:c>
      <x:c r="B288" s="2" t="str">
        <x:v>S49-CF03</x:v>
      </x:c>
      <x:c r="C288" s="2" t="str">
        <x:v>S49-MU03</x:v>
      </x:c>
      <x:c r="D288" s="2" t="str">
        <x:v>S49-O01</x:v>
      </x:c>
      <x:c r="E288" s="2" t="str">
        <x:v>Prompting</x:v>
      </x:c>
      <x:c r="F288" s="2" t="str">
        <x:v>Persona</x:v>
      </x:c>
      <x:c r="G288" s="2" t="str">
        <x:v>persona</x:v>
      </x:c>
      <x:c r="H288" s="6" t="str">
        <x:v>使用 Persona 提示模式，要求模型扮演需求工程領域專家。</x:v>
      </x:c>
      <x:c r="I288" s="2" t="str">
        <x:v>Yes</x:v>
      </x:c>
      <x:c r="J288" s="2"/>
      <x:c r="K288" s="6" t="str">
        <x:v>Prompt design</x:v>
      </x:c>
      <x:c r="L288" s="2" t="str">
        <x:v>Role/system/persona prompting</x:v>
      </x:c>
      <x:c r="M288" s="2" t="str">
        <x:v>Role/system/persona prompting</x:v>
      </x:c>
      <x:c r="N288" s="2" t="str">
        <x:v>Yes</x:v>
      </x:c>
      <x:c r="O288" s="2" t="str">
        <x:v>Full prompt reported</x:v>
      </x:c>
      <x:c r="P288" s="2" t="str">
        <x:v>NA</x:v>
      </x:c>
      <x:c r="Q288" s="2" t="str">
        <x:v>No</x:v>
      </x:c>
      <x:c r="R288" s="2" t="str">
        <x:v>No</x:v>
      </x:c>
      <x:c r="S288" s="2" t="str">
        <x:v>No</x:v>
      </x:c>
      <x:c r="T288" s="2" t="str">
        <x:v>NA</x:v>
      </x:c>
      <x:c r="U288" s="6" t="str">
        <x:v>p. 6; Table 1, Persona (Tracing column)</x:v>
      </x:c>
      <x:c r="V288" s="6" t="str">
        <x:v>Act as a requirements engineering domain expert and list the IDs of requirements that are dependent on the [deprecated] feature in the following requirements specification document:</x:v>
      </x:c>
      <x:c r="W288" s="6" t="str">
        <x:v>提示中要求模型扮演專家角色，屬於 Persona 模式。</x:v>
      </x:c>
      <x:c r="X288" s="6" t="str">
        <x:v>NA</x:v>
      </x:c>
    </x:row>
    <x:row r="289" ht="76" customHeight="1">
      <x:c r="A289" s="2" t="str">
        <x:v>S49</x:v>
      </x:c>
      <x:c r="B289" s="2" t="str">
        <x:v>S49-CF04</x:v>
      </x:c>
      <x:c r="C289" s="2" t="str">
        <x:v>S49-MU04</x:v>
      </x:c>
      <x:c r="D289" s="2" t="str">
        <x:v>S49-O01</x:v>
      </x:c>
      <x:c r="E289" s="2" t="str">
        <x:v>Prompting</x:v>
      </x:c>
      <x:c r="F289" s="2" t="str">
        <x:v>Question Refinement</x:v>
      </x:c>
      <x:c r="G289" s="2" t="str">
        <x:v>question_refinement</x:v>
      </x:c>
      <x:c r="H289" s="6" t="str">
        <x:v>使用 Question Refinement 提示模式，要求模型必要時建議更好的問題版本。</x:v>
      </x:c>
      <x:c r="I289" s="2" t="str">
        <x:v>Yes</x:v>
      </x:c>
      <x:c r="J289" s="2"/>
      <x:c r="K289" s="6" t="str">
        <x:v>Prompt design</x:v>
      </x:c>
      <x:c r="L289" s="2" t="str">
        <x:v>Iterative or staged prompting</x:v>
      </x:c>
      <x:c r="M289" s="2" t="str">
        <x:v>Iterative or staged prompting</x:v>
      </x:c>
      <x:c r="N289" s="2" t="str">
        <x:v>Yes</x:v>
      </x:c>
      <x:c r="O289" s="2" t="str">
        <x:v>Full prompt reported</x:v>
      </x:c>
      <x:c r="P289" s="2" t="str">
        <x:v>NA</x:v>
      </x:c>
      <x:c r="Q289" s="2" t="str">
        <x:v>No</x:v>
      </x:c>
      <x:c r="R289" s="2" t="str">
        <x:v>No</x:v>
      </x:c>
      <x:c r="S289" s="2" t="str">
        <x:v>No</x:v>
      </x:c>
      <x:c r="T289" s="2" t="str">
        <x:v>NA</x:v>
      </x:c>
      <x:c r="U289" s="6" t="str">
        <x:v>p. 6; Table 1, Question Refinement (Tracing column)</x:v>
      </x:c>
      <x:c r="V289" s="6" t="str">
        <x:v>List the IDs of requirements that are related to the [deprecated] feature from the requirements specification document below. If needed, suggest a better version of the question to use that incorporates information specific to this task and ask me if I would like to use your question instead.</x:v>
      </x:c>
      <x:c r="W289" s="6" t="str">
        <x:v>提示中允許模型改進問題，屬於 Question Refinement 模式。</x:v>
      </x:c>
      <x:c r="X289" s="6" t="str">
        <x:v>NA</x:v>
      </x:c>
    </x:row>
    <x:row r="290" ht="76" customHeight="1">
      <x:c r="A290" s="2" t="str">
        <x:v>S49</x:v>
      </x:c>
      <x:c r="B290" s="2" t="str">
        <x:v>S49-CF05</x:v>
      </x:c>
      <x:c r="C290" s="2" t="str">
        <x:v>S49-MU05</x:v>
      </x:c>
      <x:c r="D290" s="2" t="str">
        <x:v>S49-O01</x:v>
      </x:c>
      <x:c r="E290" s="2" t="str">
        <x:v>Prompting</x:v>
      </x:c>
      <x:c r="F290" s="2" t="str">
        <x:v>Template</x:v>
      </x:c>
      <x:c r="G290" s="2" t="str">
        <x:v>template</x:v>
      </x:c>
      <x:c r="H290" s="6" t="str">
        <x:v>使用 Template 提示模式，要求模型按照特定模板格式輸出結果。</x:v>
      </x:c>
      <x:c r="I290" s="2" t="str">
        <x:v>Yes</x:v>
      </x:c>
      <x:c r="J290" s="2"/>
      <x:c r="K290" s="6" t="str">
        <x:v>Prompt design</x:v>
      </x:c>
      <x:c r="L290" s="2" t="str">
        <x:v>Structured/template prompting</x:v>
      </x:c>
      <x:c r="M290" s="2" t="str">
        <x:v>Structured/template prompting</x:v>
      </x:c>
      <x:c r="N290" s="2" t="str">
        <x:v>Yes</x:v>
      </x:c>
      <x:c r="O290" s="2" t="str">
        <x:v>Full prompt reported</x:v>
      </x:c>
      <x:c r="P290" s="2" t="str">
        <x:v>NA</x:v>
      </x:c>
      <x:c r="Q290" s="2" t="str">
        <x:v>No</x:v>
      </x:c>
      <x:c r="R290" s="2" t="str">
        <x:v>No</x:v>
      </x:c>
      <x:c r="S290" s="2" t="str">
        <x:v>No</x:v>
      </x:c>
      <x:c r="T290" s="2" t="str">
        <x:v>NA</x:v>
      </x:c>
      <x:c r="U290" s="6" t="str">
        <x:v>p. 6; Table 1, Template (Tracing column)</x:v>
      </x:c>
      <x:c r="V290" s="6" t="str">
        <x:v>List the IDs of requirements that are related to the [deprecated] feature in the requirements specification document below. Follow the provided template when generating the output: ID list: X.X.X.X; X.X.X; X.X.X.X etc.</x:v>
      </x:c>
      <x:c r="W290" s="6" t="str">
        <x:v>提示中指定了輸出格式模板，屬於 Template 模式。</x:v>
      </x:c>
      <x:c r="X290" s="6" t="str">
        <x:v>NA</x:v>
      </x:c>
    </x:row>
    <x:row r="291" ht="76" customHeight="1">
      <x:c r="A291" s="2" t="str">
        <x:v>S50</x:v>
      </x:c>
      <x:c r="B291" s="2" t="str">
        <x:v>S50-CF01</x:v>
      </x:c>
      <x:c r="C291" s="2" t="str">
        <x:v>S50-MU01</x:v>
      </x:c>
      <x:c r="D291" s="2" t="str">
        <x:v>S50-O01</x:v>
      </x:c>
      <x:c r="E291" s="2" t="str">
        <x:v>Prompting</x:v>
      </x:c>
      <x:c r="F291" s="2" t="str">
        <x:v>zero-shot prompting</x:v>
      </x:c>
      <x:c r="G291" s="2" t="str">
        <x:v>zero-shot</x:v>
      </x:c>
      <x:c r="H291" s="6" t="str">
        <x:v>使用零样本提示，让LLM从本体类列表中选出与用户问题相关的类。</x:v>
      </x:c>
      <x:c r="I291" s="2" t="str">
        <x:v>Yes</x:v>
      </x:c>
      <x:c r="J291" s="2"/>
      <x:c r="K291" s="6" t="str">
        <x:v>Prompt design</x:v>
      </x:c>
      <x:c r="L291" s="2" t="str">
        <x:v>Few-shot/in-context examples</x:v>
      </x:c>
      <x:c r="M291" s="2" t="str">
        <x:v>Few-shot/in-context examples; Zero-shot prompting</x:v>
      </x:c>
      <x:c r="N291" s="2" t="str">
        <x:v>No</x:v>
      </x:c>
      <x:c r="O291" s="2" t="str">
        <x:v>Partial description</x:v>
      </x:c>
      <x:c r="P291" s="2" t="str">
        <x:v>0</x:v>
      </x:c>
      <x:c r="Q291" s="2" t="str">
        <x:v>No</x:v>
      </x:c>
      <x:c r="R291" s="2" t="str">
        <x:v>No</x:v>
      </x:c>
      <x:c r="S291" s="2" t="str">
        <x:v>No</x:v>
      </x:c>
      <x:c r="T291" s="2" t="str">
        <x:v>NA</x:v>
      </x:c>
      <x:c r="U291" s="6" t="str">
        <x:v>p. 6; Section IV-A</x:v>
      </x:c>
      <x:c r="V291" s="6" t="str">
        <x:v>Zero-shot prompting (when an LLM answers a question without any specific training examples or prior demonstrations of that task, it is called zero-shot prompt- ing) is utilized to identify which segments of the knowledge graph are relevant to the question.</x:v>
      </x:c>
      <x:c r="W291" s="6" t="str">
        <x:v>零样本提示用于从本体类中识别相关部分，不提供示例。</x:v>
      </x:c>
      <x:c r="X291" s="6" t="str">
        <x:v>NA</x:v>
      </x:c>
    </x:row>
    <x:row r="292" ht="76" customHeight="1">
      <x:c r="A292" s="2" t="str">
        <x:v>S50</x:v>
      </x:c>
      <x:c r="B292" s="2" t="str">
        <x:v>S50-CF02</x:v>
      </x:c>
      <x:c r="C292" s="2" t="str">
        <x:v>S50-MU02</x:v>
      </x:c>
      <x:c r="D292" s="2" t="str">
        <x:v>S50-O02</x:v>
      </x:c>
      <x:c r="E292" s="2" t="str">
        <x:v>Context construction</x:v>
      </x:c>
      <x:c r="F292" s="2" t="str">
        <x:v>transforming information to human natural language</x:v>
      </x:c>
      <x:c r="G292" s="2" t="str">
        <x:v>sentence-templates</x:v>
      </x:c>
      <x:c r="H292" s="6" t="str">
        <x:v>使用预定义的句子模板将知识图谱的RDF三元组转换为自然语言句子，以便LLM理解。</x:v>
      </x:c>
      <x:c r="I292" s="2" t="str">
        <x:v>Yes</x:v>
      </x:c>
      <x:c r="J292" s="2"/>
      <x:c r="K292" s="6" t="str">
        <x:v>Input and context construction</x:v>
      </x:c>
      <x:c r="L292" s="2" t="str">
        <x:v>Retrieved context</x:v>
      </x:c>
      <x:c r="M292" s="2" t="str">
        <x:v>Retrieved context; Structured/template prompting</x:v>
      </x:c>
      <x:c r="N292" s="2" t="str">
        <x:v>No</x:v>
      </x:c>
      <x:c r="O292" s="2" t="str">
        <x:v>Partial description</x:v>
      </x:c>
      <x:c r="P292" s="2" t="str">
        <x:v>NA</x:v>
      </x:c>
      <x:c r="Q292" s="2" t="str">
        <x:v>No</x:v>
      </x:c>
      <x:c r="R292" s="2" t="str">
        <x:v>No</x:v>
      </x:c>
      <x:c r="S292" s="2" t="str">
        <x:v>No</x:v>
      </x:c>
      <x:c r="T292" s="2" t="str">
        <x:v>NA</x:v>
      </x:c>
      <x:c r="U292" s="6" t="str">
        <x:v>p. 7; Section IV-B, Table 2</x:v>
      </x:c>
      <x:c r="V292" s="6" t="str">
        <x:v>we transform the RDF triples retrieved in the previous step into sentences using the sentence template shown in Table 2.</x:v>
      </x:c>
      <x:c r="W292" s="6" t="str">
        <x:v>句子模板用于将结构化知识图谱数据转换为LLM可处理的自然语言文本。</x:v>
      </x:c>
      <x:c r="X292" s="6" t="str">
        <x:v>NA</x:v>
      </x:c>
    </x:row>
    <x:row r="293" ht="76" customHeight="1">
      <x:c r="A293" s="2" t="str">
        <x:v>S50</x:v>
      </x:c>
      <x:c r="B293" s="2" t="str">
        <x:v>S50-CF03</x:v>
      </x:c>
      <x:c r="C293" s="2" t="str">
        <x:v>S50-MU02</x:v>
      </x:c>
      <x:c r="D293" s="2" t="str">
        <x:v>S50-O02</x:v>
      </x:c>
      <x:c r="E293" s="2" t="str">
        <x:v>Context construction</x:v>
      </x:c>
      <x:c r="F293" s="2" t="str">
        <x:v>cosine similarity search</x:v>
      </x:c>
      <x:c r="G293" s="2" t="str">
        <x:v>similarity-search-context</x:v>
      </x:c>
      <x:c r="H293" s="6" t="str">
        <x:v>使用句子转换器嵌入生成句子和标准定义，通过余弦相似度检索最相关的IEC 62443-3-3术语和定义。</x:v>
      </x:c>
      <x:c r="I293" s="2" t="str">
        <x:v>Yes</x:v>
      </x:c>
      <x:c r="J293" s="2"/>
      <x:c r="K293" s="6" t="str">
        <x:v>Input and context construction</x:v>
      </x:c>
      <x:c r="L293" s="2" t="str">
        <x:v>Retrieved context</x:v>
      </x:c>
      <x:c r="M293" s="2" t="str">
        <x:v>Retrieved context</x:v>
      </x:c>
      <x:c r="N293" s="2" t="str">
        <x:v>NA</x:v>
      </x:c>
      <x:c r="O293" s="2" t="str">
        <x:v>NA</x:v>
      </x:c>
      <x:c r="P293" s="2" t="str">
        <x:v>NA</x:v>
      </x:c>
      <x:c r="Q293" s="2" t="str">
        <x:v>Yes</x:v>
      </x:c>
      <x:c r="R293" s="2" t="str">
        <x:v>No</x:v>
      </x:c>
      <x:c r="S293" s="2" t="str">
        <x:v>No</x:v>
      </x:c>
      <x:c r="T293" s="2" t="str">
        <x:v>NA</x:v>
      </x:c>
      <x:c r="U293" s="6" t="str">
        <x:v>p. 9; Algorithm 1 and Section IV-C</x:v>
      </x:c>
      <x:c r="V293" s="6" t="str">
        <x:v>Perform cosine similarity search on generated sentences S and IEC 62443-3-3’s terms and definitions to find relevant terms and definitions using FAISS [48] D</x:v>
      </x:c>
      <x:c r="W293" s="6" t="str">
        <x:v>通过向量相似度检索，从IEC 62443-3-3中获取相关定义，增强提示的上下文。</x:v>
      </x:c>
      <x:c r="X293" s="6" t="str">
        <x:v>NA</x:v>
      </x:c>
    </x:row>
    <x:row r="294" ht="76" customHeight="1">
      <x:c r="A294" s="2" t="str">
        <x:v>S50</x:v>
      </x:c>
      <x:c r="B294" s="2" t="str">
        <x:v>S50-CF04</x:v>
      </x:c>
      <x:c r="C294" s="2" t="str">
        <x:v>S50-MU02</x:v>
      </x:c>
      <x:c r="D294" s="2" t="str">
        <x:v>S50-O02</x:v>
      </x:c>
      <x:c r="E294" s="2" t="str">
        <x:v>Output constraint</x:v>
      </x:c>
      <x:c r="F294" s="2" t="str">
        <x:v>closeness centrality filtering</x:v>
      </x:c>
      <x:c r="G294" s="2" t="str">
        <x:v>token-limit-centrality</x:v>
      </x:c>
      <x:c r="H294" s="6" t="str">
        <x:v>当检索到的信息超过令牌限制时，根据紧密度中心性指标移除最不重要的句子，以控制上下文大小。</x:v>
      </x:c>
      <x:c r="I294" s="2" t="str">
        <x:v>Yes</x:v>
      </x:c>
      <x:c r="J294" s="2"/>
      <x:c r="K294" s="6" t="str">
        <x:v>Input and context construction</x:v>
      </x:c>
      <x:c r="L294" s="2" t="str">
        <x:v>Context budget management</x:v>
      </x:c>
      <x:c r="M294" s="2"/>
      <x:c r="N294" s="2" t="str">
        <x:v>NA</x:v>
      </x:c>
      <x:c r="O294" s="2" t="str">
        <x:v>NA</x:v>
      </x:c>
      <x:c r="P294" s="2" t="str">
        <x:v>NA</x:v>
      </x:c>
      <x:c r="Q294" s="2" t="str">
        <x:v>No</x:v>
      </x:c>
      <x:c r="R294" s="2" t="str">
        <x:v>No</x:v>
      </x:c>
      <x:c r="S294" s="2" t="str">
        <x:v>No</x:v>
      </x:c>
      <x:c r="T294" s="2" t="str">
        <x:v>NA</x:v>
      </x:c>
      <x:c r="U294" s="6" t="str">
        <x:v>p. 9; Algorithm 1 and Section IV-A</x:v>
      </x:c>
      <x:c r="V294" s="6" t="str">
        <x:v>If the token size limit Tokl is violated, remove the sentence related instance with the least closeness centrality until the number of tokens are less than threshold Tokl</x:v>
      </x:c>
      <x:c r="W294" s="6" t="str">
        <x:v>利用图中心性指标修剪上下文，确保不超过LLM的令牌限制。</x:v>
      </x:c>
      <x:c r="X294" s="6" t="str">
        <x:v>NA</x:v>
      </x:c>
    </x:row>
    <x:row r="295" ht="76" customHeight="1">
      <x:c r="A295" s="2" t="str">
        <x:v>S50</x:v>
      </x:c>
      <x:c r="B295" s="2" t="str">
        <x:v>S50-CF05</x:v>
      </x:c>
      <x:c r="C295" s="2" t="str">
        <x:v>S50-MU02</x:v>
      </x:c>
      <x:c r="D295" s="2" t="str">
        <x:v>S50-O02</x:v>
      </x:c>
      <x:c r="E295" s="2" t="str">
        <x:v>Prompting</x:v>
      </x:c>
      <x:c r="F295" s="2" t="str">
        <x:v>final prompt</x:v>
      </x:c>
      <x:c r="G295" s="2" t="str">
        <x:v>final-prompt-assembly</x:v>
      </x:c>
      <x:c r="H295" s="6" t="str">
        <x:v>将用户查询、知识图谱句子和IEC 62443术语定义组合成最终提示，作为LLM输入。</x:v>
      </x:c>
      <x:c r="I295" s="2" t="str">
        <x:v>Yes</x:v>
      </x:c>
      <x:c r="J295" s="2"/>
      <x:c r="K295" s="6" t="str">
        <x:v>Prompt design</x:v>
      </x:c>
      <x:c r="L295" s="2" t="str">
        <x:v>Task-specific prompting</x:v>
      </x:c>
      <x:c r="M295" s="2" t="str">
        <x:v>Retrieved context</x:v>
      </x:c>
      <x:c r="N295" s="2" t="str">
        <x:v>No</x:v>
      </x:c>
      <x:c r="O295" s="2" t="str">
        <x:v>Partial description</x:v>
      </x:c>
      <x:c r="P295" s="2" t="str">
        <x:v>0</x:v>
      </x:c>
      <x:c r="Q295" s="2" t="str">
        <x:v>NA</x:v>
      </x:c>
      <x:c r="R295" s="2" t="str">
        <x:v>No</x:v>
      </x:c>
      <x:c r="S295" s="2" t="str">
        <x:v>No</x:v>
      </x:c>
      <x:c r="T295" s="2" t="str">
        <x:v>NA</x:v>
      </x:c>
      <x:c r="U295" s="6" t="str">
        <x:v>p. 7; Section IV-C</x:v>
      </x:c>
      <x:c r="V295" s="6" t="str">
        <x:v>The final prompt consists of three elements: (1) the user query, (2) information retrieved from the knowledge graph and transformed into natural language using Table 2, and (3) additional context obtained by searching for relevant terms and definitions from IEC 62443-3-3.</x:v>
      </x:c>
      <x:c r="W295" s="6" t="str">
        <x:v>最终提示将知识图谱上下文和标准定义与用户问题结合，引导LLM生成回答。</x:v>
      </x:c>
      <x:c r="X295" s="6" t="str">
        <x:v>NA</x:v>
      </x:c>
    </x:row>
    <x:row r="296" ht="76" customHeight="1">
      <x:c r="A296" s="2" t="str">
        <x:v>S51</x:v>
      </x:c>
      <x:c r="B296" s="2" t="str">
        <x:v>S51-CF01</x:v>
      </x:c>
      <x:c r="C296" s="2" t="str">
        <x:v>S51-MU01</x:v>
      </x:c>
      <x:c r="D296" s="2" t="str">
        <x:v>S51-O01</x:v>
      </x:c>
      <x:c r="E296" s="2" t="str">
        <x:v>Prompting</x:v>
      </x:c>
      <x:c r="F296" s="2" t="str">
        <x:v>base prompt</x:v>
      </x:c>
      <x:c r="G296" s="2" t="str">
        <x:v>base_prompt</x:v>
      </x:c>
      <x:c r="H296" s="6" t="str">
        <x:v>一个基础提示，指示LLM评估系统规格是否有效，即判断需求是否满足。</x:v>
      </x:c>
      <x:c r="I296" s="2" t="str">
        <x:v>Yes</x:v>
      </x:c>
      <x:c r="J296" s="2"/>
      <x:c r="K296" s="6" t="str">
        <x:v>Prompt design</x:v>
      </x:c>
      <x:c r="L296" s="2" t="str">
        <x:v>Task-specific prompting</x:v>
      </x:c>
      <x:c r="M296" s="2"/>
      <x:c r="N296" s="2" t="str">
        <x:v>Yes</x:v>
      </x:c>
      <x:c r="O296" s="2" t="str">
        <x:v>Partial description</x:v>
      </x:c>
      <x:c r="P296" s="2" t="str">
        <x:v>0</x:v>
      </x:c>
      <x:c r="Q296" s="2" t="str">
        <x:v>No</x:v>
      </x:c>
      <x:c r="R296" s="2" t="str">
        <x:v>No</x:v>
      </x:c>
      <x:c r="S296" s="2" t="str">
        <x:v>No</x:v>
      </x:c>
      <x:c r="T296" s="2" t="str">
        <x:v>NR</x:v>
      </x:c>
      <x:c r="U296" s="6" t="str">
        <x:v>p. 4; Section III-C. Experimental Variables</x:v>
      </x:c>
      <x:c r="V296" s="6" t="str">
        <x:v>a base prompt, instructing the LLMs to evaluate whether the system specification is valid</x:v>
      </x:c>
      <x:c r="W296" s="6" t="str">
        <x:v>基础提示策略，直接要求LLM评估系统规格的合规性。</x:v>
      </x:c>
      <x:c r="X296" s="6" t="str">
        <x:v>Same base prompt used for all models.</x:v>
      </x:c>
    </x:row>
    <x:row r="297" ht="76" customHeight="1">
      <x:c r="A297" s="2" t="str">
        <x:v>S51</x:v>
      </x:c>
      <x:c r="B297" s="2" t="str">
        <x:v>S51-CF02</x:v>
      </x:c>
      <x:c r="C297" s="2" t="str">
        <x:v>S51-MU01</x:v>
      </x:c>
      <x:c r="D297" s="2" t="str">
        <x:v>S51-O01</x:v>
      </x:c>
      <x:c r="E297" s="2" t="str">
        <x:v>Prompting</x:v>
      </x:c>
      <x:c r="F297" s="2" t="str">
        <x:v>chain-of-thought (COT) prompt</x:v>
      </x:c>
      <x:c r="G297" s="2" t="str">
        <x:v>cot_prompt</x:v>
      </x:c>
      <x:c r="H297" s="6" t="str">
        <x:v>思维链提示，为LLM提供如何构建评估过程并详细描述其推理的详细指令。</x:v>
      </x:c>
      <x:c r="I297" s="2" t="str">
        <x:v>Yes</x:v>
      </x:c>
      <x:c r="J297" s="2"/>
      <x:c r="K297" s="6" t="str">
        <x:v>Prompt design</x:v>
      </x:c>
      <x:c r="L297" s="2" t="str">
        <x:v>Reasoning elicitation</x:v>
      </x:c>
      <x:c r="M297" s="2" t="str">
        <x:v>Reasoning elicitation</x:v>
      </x:c>
      <x:c r="N297" s="2" t="str">
        <x:v>Yes</x:v>
      </x:c>
      <x:c r="O297" s="2" t="str">
        <x:v>Partial description</x:v>
      </x:c>
      <x:c r="P297" s="2" t="str">
        <x:v>0</x:v>
      </x:c>
      <x:c r="Q297" s="2" t="str">
        <x:v>No</x:v>
      </x:c>
      <x:c r="R297" s="2" t="str">
        <x:v>No</x:v>
      </x:c>
      <x:c r="S297" s="2" t="str">
        <x:v>No</x:v>
      </x:c>
      <x:c r="T297" s="2" t="str">
        <x:v>NR</x:v>
      </x:c>
      <x:c r="U297" s="6" t="str">
        <x:v>p. 4; Section III-C. Experimental Variables</x:v>
      </x:c>
      <x:c r="V297" s="6" t="str">
        <x:v>a chain-of-thought (COT) prompt providing the LLMs with detailed instructions on how to structure the evaluation and describe their inferences in detail</x:v>
      </x:c>
      <x:c r="W297" s="6" t="str">
        <x:v>思维链提示策略，引导LLM逐步推理并结构化输出评估过程。</x:v>
      </x:c>
      <x:c r="X297" s="6" t="str">
        <x:v>Same COT prompt used for all models.</x:v>
      </x:c>
    </x:row>
    <x:row r="298" ht="76" customHeight="1">
      <x:c r="A298" s="2" t="str">
        <x:v>S51</x:v>
      </x:c>
      <x:c r="B298" s="2" t="str">
        <x:v>S51-CF03</x:v>
      </x:c>
      <x:c r="C298" s="2" t="str">
        <x:v>S51-MU01</x:v>
      </x:c>
      <x:c r="D298" s="2" t="str">
        <x:v>S51-O01</x:v>
      </x:c>
      <x:c r="E298" s="2" t="str">
        <x:v>Prompting</x:v>
      </x:c>
      <x:c r="F298" s="2" t="str">
        <x:v>few-shot prompt</x:v>
      </x:c>
      <x:c r="G298" s="2" t="str">
        <x:v>few_shot_prompt</x:v>
      </x:c>
      <x:c r="H298" s="6" t="str">
        <x:v>少样本提示，包含一个描述完全不同动作、参与者和对象的示例。</x:v>
      </x:c>
      <x:c r="I298" s="2" t="str">
        <x:v>Yes</x:v>
      </x:c>
      <x:c r="J298" s="2"/>
      <x:c r="K298" s="6" t="str">
        <x:v>Prompt design</x:v>
      </x:c>
      <x:c r="L298" s="2" t="str">
        <x:v>Few-shot/in-context examples</x:v>
      </x:c>
      <x:c r="M298" s="2" t="str">
        <x:v>Few-shot/in-context examples</x:v>
      </x:c>
      <x:c r="N298" s="2" t="str">
        <x:v>Yes</x:v>
      </x:c>
      <x:c r="O298" s="2" t="str">
        <x:v>Partial description</x:v>
      </x:c>
      <x:c r="P298" s="2" t="str">
        <x:v>1</x:v>
      </x:c>
      <x:c r="Q298" s="2" t="str">
        <x:v>No</x:v>
      </x:c>
      <x:c r="R298" s="2" t="str">
        <x:v>No</x:v>
      </x:c>
      <x:c r="S298" s="2" t="str">
        <x:v>No</x:v>
      </x:c>
      <x:c r="T298" s="2" t="str">
        <x:v>NR</x:v>
      </x:c>
      <x:c r="U298" s="6" t="str">
        <x:v>p. 4; Section III-C. Experimental Variables</x:v>
      </x:c>
      <x:c r="V298" s="6" t="str">
        <x:v>a few-shot prompt featuring one example describing entirely different actions, actors, and objects</x:v>
      </x:c>
      <x:c r="W298" s="6" t="str">
        <x:v>少样本提示策略，通过一个示例演示评估任务，提升LLM性能。</x:v>
      </x:c>
      <x:c r="X298" s="6" t="str">
        <x:v>Same few-shot prompt used for all models.</x:v>
      </x:c>
    </x:row>
    <x:row r="299" ht="76" customHeight="1">
      <x:c r="A299" s="2" t="str">
        <x:v>S52</x:v>
      </x:c>
      <x:c r="B299" s="2" t="str">
        <x:v>S52-CF01</x:v>
      </x:c>
      <x:c r="C299" s="2" t="str">
        <x:v>S52-MU01</x:v>
      </x:c>
      <x:c r="D299" s="2" t="str">
        <x:v>S52-O01</x:v>
      </x:c>
      <x:c r="E299" s="2" t="str">
        <x:v>Prompting</x:v>
      </x:c>
      <x:c r="F299" s="2" t="str">
        <x:v>two-step summarization prompt</x:v>
      </x:c>
      <x:c r="G299" s="2" t="str">
        <x:v>two_step_summarization_prompt</x:v>
      </x:c>
      <x:c r="H299" s="6" t="str">
        <x:v>提示Claude 2.0分两步总结源代码：首先概述功能，然后生成详细摘要。</x:v>
      </x:c>
      <x:c r="I299" s="2" t="str">
        <x:v>Yes</x:v>
      </x:c>
      <x:c r="J299" s="2"/>
      <x:c r="K299" s="6" t="str">
        <x:v>Prompt design</x:v>
      </x:c>
      <x:c r="L299" s="2" t="str">
        <x:v>Iterative or staged prompting</x:v>
      </x:c>
      <x:c r="M299" s="2" t="str">
        <x:v>Iterative or staged prompting</x:v>
      </x:c>
      <x:c r="N299" s="2" t="str">
        <x:v>No</x:v>
      </x:c>
      <x:c r="O299" s="2" t="str">
        <x:v>Partial description</x:v>
      </x:c>
      <x:c r="P299" s="2" t="str">
        <x:v>NA</x:v>
      </x:c>
      <x:c r="Q299" s="2" t="str">
        <x:v>No</x:v>
      </x:c>
      <x:c r="R299" s="2" t="str">
        <x:v>No</x:v>
      </x:c>
      <x:c r="S299" s="2" t="str">
        <x:v>No</x:v>
      </x:c>
      <x:c r="T299" s="2" t="str">
        <x:v>NA</x:v>
      </x:c>
      <x:c r="U299" s="6" t="str">
        <x:v>p. 3; Section II-A, Stage 0: Code Summarization</x:v>
      </x:c>
      <x:c r="V299" s="6" t="str">
        <x:v>We prompted Claude to summarize the source code by (i) initially outlining the functionality provided to the user by the code, and (ii) then creating a polished summary that explains how the code supports the described user behavior.</x:v>
      </x:c>
      <x:c r="W299" s="6" t="str">
        <x:v>提示策略分为两步，先提取功能概述，再生成完善摘要，以增强代码理解。</x:v>
      </x:c>
      <x:c r="X299" s="6" t="str">
        <x:v>NA</x:v>
      </x:c>
    </x:row>
    <x:row r="300" ht="76" customHeight="1">
      <x:c r="A300" s="2" t="str">
        <x:v>S52</x:v>
      </x:c>
      <x:c r="B300" s="2" t="str">
        <x:v>S52-CF02</x:v>
      </x:c>
      <x:c r="C300" s="2" t="str">
        <x:v>S52-MU02</x:v>
      </x:c>
      <x:c r="D300" s="2" t="str">
        <x:v>S52-O02</x:v>
      </x:c>
      <x:c r="E300" s="2" t="str">
        <x:v>Context construction</x:v>
      </x:c>
      <x:c r="F300" s="2" t="str">
        <x:v>LLM-generated format</x:v>
      </x:c>
      <x:c r="G300" s="2" t="str">
        <x:v>llm_generated_format</x:v>
      </x:c>
      <x:c r="H300" s="6" t="str">
        <x:v>使用单独的LLM调用生成标准化工件格式模板，作为后续文档生成的上下文。</x:v>
      </x:c>
      <x:c r="I300" s="2" t="str">
        <x:v>Yes</x:v>
      </x:c>
      <x:c r="J300" s="2"/>
      <x:c r="K300" s="6" t="str">
        <x:v>Input and context construction</x:v>
      </x:c>
      <x:c r="L300" s="2" t="str">
        <x:v>Artifact packaging and scope</x:v>
      </x:c>
      <x:c r="M300" s="2" t="str">
        <x:v>Few-shot/in-context examples</x:v>
      </x:c>
      <x:c r="N300" s="2" t="str">
        <x:v>No</x:v>
      </x:c>
      <x:c r="O300" s="2" t="str">
        <x:v>Partial description</x:v>
      </x:c>
      <x:c r="P300" s="2" t="str">
        <x:v>NA</x:v>
      </x:c>
      <x:c r="Q300" s="2" t="str">
        <x:v>No</x:v>
      </x:c>
      <x:c r="R300" s="2" t="str">
        <x:v>No</x:v>
      </x:c>
      <x:c r="S300" s="2" t="str">
        <x:v>No</x:v>
      </x:c>
      <x:c r="T300" s="2" t="str">
        <x:v>Separate LLM call to generate format, then main call uses it.</x:v>
      </x:c>
      <x:c r="U300" s="6" t="str">
        <x:v>p. 4; Section II-C, Stage 2: Generate Documentation Content</x:v>
      </x:c>
      <x:c r="V300" s="6" t="str">
        <x:v>the format can either be predefined by the user or generated by the LLM in a separate context window. In this study, we used the latter approach to increase the degree of automation. Given that most LLM’s pre-training data contains examples of diverse common artifact types, we can simply prompt Claude to generate a standardized format for the artifact type.</x:v>
      </x:c>
      <x:c r="W300" s="6" t="str">
        <x:v>通过单独的LLM调用生成工件格式模板，为后续主生成任务提供结构化上下文。</x:v>
      </x:c>
      <x:c r="X300" s="6" t="str">
        <x:v>NA</x:v>
      </x:c>
    </x:row>
    <x:row r="301" ht="76" customHeight="1">
      <x:c r="A301" s="2" t="str">
        <x:v>S52</x:v>
      </x:c>
      <x:c r="B301" s="2" t="str">
        <x:v>S52-CF03</x:v>
      </x:c>
      <x:c r="C301" s="2" t="str">
        <x:v>S52-MU02</x:v>
      </x:c>
      <x:c r="D301" s="2" t="str">
        <x:v>S52-O02</x:v>
      </x:c>
      <x:c r="E301" s="2" t="str">
        <x:v>Prompting</x:v>
      </x:c>
      <x:c r="F301" s="2" t="str">
        <x:v>artifact generation prompt with type, format, and target count</x:v>
      </x:c>
      <x:c r="G301" s="2" t="str">
        <x:v>artifact_gen_prompt</x:v>
      </x:c>
      <x:c r="H301" s="6" t="str">
        <x:v>提示LLM根据工件类型、格式模板和目标数量，从聚类内容生成高层文档。</x:v>
      </x:c>
      <x:c r="I301" s="2" t="str">
        <x:v>Yes</x:v>
      </x:c>
      <x:c r="J301" s="2"/>
      <x:c r="K301" s="6" t="str">
        <x:v>Prompt design</x:v>
      </x:c>
      <x:c r="L301" s="2" t="str">
        <x:v>Task-specific prompting</x:v>
      </x:c>
      <x:c r="M301" s="2"/>
      <x:c r="N301" s="2" t="str">
        <x:v>No</x:v>
      </x:c>
      <x:c r="O301" s="2" t="str">
        <x:v>Partial description</x:v>
      </x:c>
      <x:c r="P301" s="2" t="str">
        <x:v>NA</x:v>
      </x:c>
      <x:c r="Q301" s="2" t="str">
        <x:v>No</x:v>
      </x:c>
      <x:c r="R301" s="2" t="str">
        <x:v>No</x:v>
      </x:c>
      <x:c r="S301" s="2" t="str">
        <x:v>No</x:v>
      </x:c>
      <x:c r="T301" s="2" t="str">
        <x:v>Uses format generated in separate LLM call</x:v>
      </x:c>
      <x:c r="U301" s="6" t="str">
        <x:v>p. 4; Section II-C, Stage 2: Generate Documentation Content</x:v>
      </x:c>
      <x:c r="V301" s="6" t="str">
        <x:v>we prompt the LLM to format the output of the desired artifacts by specifying (i) the output artifact type, (ii) the desired format of the artifact, and (iii) the targeted number of document artifacts to be generated from the current cluster.</x:v>
      </x:c>
      <x:c r="W301" s="6" t="str">
        <x:v>主要生成提示包含工件类型、格式和数量，指导LLM生成结构化文档。</x:v>
      </x:c>
      <x:c r="X301" s="6" t="str">
        <x:v>NA</x:v>
      </x:c>
    </x:row>
    <x:row r="302" ht="76" customHeight="1">
      <x:c r="A302" s="2" t="str">
        <x:v>S53</x:v>
      </x:c>
      <x:c r="B302" s="2" t="str">
        <x:v>S53-CF01</x:v>
      </x:c>
      <x:c r="C302" s="2" t="str">
        <x:v>S53-MU01</x:v>
      </x:c>
      <x:c r="D302" s="2" t="str">
        <x:v>S53-O01</x:v>
      </x:c>
      <x:c r="E302" s="2" t="str">
        <x:v>Prompting</x:v>
      </x:c>
      <x:c r="F302" s="2" t="str">
        <x:v>User Requirements Generation Prompt</x:v>
      </x:c>
      <x:c r="G302" s="2" t="str">
        <x:v>zero-shot prompting</x:v>
      </x:c>
      <x:c r="H302" s="6" t="str">
        <x:v>Generate a user requirements document from a sketch.</x:v>
      </x:c>
      <x:c r="I302" s="2" t="str">
        <x:v>Yes</x:v>
      </x:c>
      <x:c r="J302" s="2"/>
      <x:c r="K302" s="6" t="str">
        <x:v>Prompt design</x:v>
      </x:c>
      <x:c r="L302" s="2" t="str">
        <x:v>Few-shot/in-context examples</x:v>
      </x:c>
      <x:c r="M302" s="2" t="str">
        <x:v>Few-shot/in-context examples; Zero-shot prompting</x:v>
      </x:c>
      <x:c r="N302" s="2" t="str">
        <x:v>Yes</x:v>
      </x:c>
      <x:c r="O302" s="2" t="str">
        <x:v>Full text</x:v>
      </x:c>
      <x:c r="P302" s="2" t="str">
        <x:v>0</x:v>
      </x:c>
      <x:c r="Q302" s="2" t="str">
        <x:v>No</x:v>
      </x:c>
      <x:c r="R302" s="2" t="str">
        <x:v>No</x:v>
      </x:c>
      <x:c r="S302" s="2" t="str">
        <x:v>No</x:v>
      </x:c>
      <x:c r="T302" s="2" t="str">
        <x:v>The same prompt was applied independently to GPT-4, Claude Sonnet 4, and Gemini 2.5 Flash.</x:v>
      </x:c>
      <x:c r="U302" s="6" t="str">
        <x:v>p. 3; Section III-A</x:v>
      </x:c>
      <x:c r="V302" s="6" t="str">
        <x:v>I want to create a User Requirements Document for a Track Surveillance Drone starting from the attached sketch.</x:v>
      </x:c>
      <x:c r="W302" s="6" t="str">
        <x:v>The full task prompt is printed in the paper and no demonstrations, retrieval, fine tuning, or agent workflow are reported.</x:v>
      </x:c>
      <x:c r="X302" s="6" t="str">
        <x:v>R1 manual full-text extraction checked and confirmed on 2026-07-29. The representative model_use_id anchors a prompt shared by all three model uses for the operation.</x:v>
      </x:c>
    </x:row>
    <x:row r="303" ht="76" customHeight="1">
      <x:c r="A303" s="2" t="str">
        <x:v>S53</x:v>
      </x:c>
      <x:c r="B303" s="2" t="str">
        <x:v>S53-CF02</x:v>
      </x:c>
      <x:c r="C303" s="2" t="str">
        <x:v>S53-MU04</x:v>
      </x:c>
      <x:c r="D303" s="2" t="str">
        <x:v>S53-O02</x:v>
      </x:c>
      <x:c r="E303" s="2" t="str">
        <x:v>Prompting</x:v>
      </x:c>
      <x:c r="F303" s="2" t="str">
        <x:v>System Requirements Generation Prompt</x:v>
      </x:c>
      <x:c r="G303" s="2" t="str">
        <x:v>zero-shot prompting</x:v>
      </x:c>
      <x:c r="H303" s="6" t="str">
        <x:v>Derive technical system requirements from user requirements and link them.</x:v>
      </x:c>
      <x:c r="I303" s="2" t="str">
        <x:v>Yes</x:v>
      </x:c>
      <x:c r="J303" s="2"/>
      <x:c r="K303" s="6" t="str">
        <x:v>Prompt design</x:v>
      </x:c>
      <x:c r="L303" s="2" t="str">
        <x:v>Few-shot/in-context examples</x:v>
      </x:c>
      <x:c r="M303" s="2" t="str">
        <x:v>Few-shot/in-context examples; Zero-shot prompting</x:v>
      </x:c>
      <x:c r="N303" s="2" t="str">
        <x:v>Yes</x:v>
      </x:c>
      <x:c r="O303" s="2" t="str">
        <x:v>Full text</x:v>
      </x:c>
      <x:c r="P303" s="2" t="str">
        <x:v>0</x:v>
      </x:c>
      <x:c r="Q303" s="2" t="str">
        <x:v>No</x:v>
      </x:c>
      <x:c r="R303" s="2" t="str">
        <x:v>No</x:v>
      </x:c>
      <x:c r="S303" s="2" t="str">
        <x:v>No</x:v>
      </x:c>
      <x:c r="T303" s="2" t="str">
        <x:v>The same prompt was applied independently to GPT-4, Claude Sonnet 4, and Gemini 2.5 Flash.</x:v>
      </x:c>
      <x:c r="U303" s="6" t="str">
        <x:v>p. 4; Section III-B</x:v>
      </x:c>
      <x:c r="V303" s="6" t="str">
        <x:v>More system requirements can and is expected to be linked to one user requirement.</x:v>
      </x:c>
      <x:c r="W303" s="6" t="str">
        <x:v>The full task prompt is printed in the paper and no demonstrations, retrieval, fine tuning, or agent workflow are reported.</x:v>
      </x:c>
      <x:c r="X303" s="6" t="str">
        <x:v>R1 manual full-text extraction checked and confirmed on 2026-07-29. The representative model_use_id anchors a prompt shared by all three model uses for the operation.</x:v>
      </x:c>
    </x:row>
    <x:row r="304" ht="76" customHeight="1">
      <x:c r="A304" s="2" t="str">
        <x:v>S53</x:v>
      </x:c>
      <x:c r="B304" s="2" t="str">
        <x:v>S53-CF03</x:v>
      </x:c>
      <x:c r="C304" s="2" t="str">
        <x:v>S53-MU07</x:v>
      </x:c>
      <x:c r="D304" s="2" t="str">
        <x:v>S53-O03</x:v>
      </x:c>
      <x:c r="E304" s="2" t="str">
        <x:v>Prompting</x:v>
      </x:c>
      <x:c r="F304" s="2" t="str">
        <x:v>Requirements Refinement Prompt</x:v>
      </x:c>
      <x:c r="G304" s="2" t="str">
        <x:v>zero-shot prompting</x:v>
      </x:c>
      <x:c r="H304" s="6" t="str">
        <x:v>Detect and correct any error in the supplied system requirements.</x:v>
      </x:c>
      <x:c r="I304" s="2" t="str">
        <x:v>Yes</x:v>
      </x:c>
      <x:c r="J304" s="2"/>
      <x:c r="K304" s="6" t="str">
        <x:v>Prompt design</x:v>
      </x:c>
      <x:c r="L304" s="2" t="str">
        <x:v>Few-shot/in-context examples</x:v>
      </x:c>
      <x:c r="M304" s="2" t="str">
        <x:v>Few-shot/in-context examples; Iterative or staged prompting; Zero-shot prompting</x:v>
      </x:c>
      <x:c r="N304" s="2" t="str">
        <x:v>Yes</x:v>
      </x:c>
      <x:c r="O304" s="2" t="str">
        <x:v>Full text</x:v>
      </x:c>
      <x:c r="P304" s="2" t="str">
        <x:v>0</x:v>
      </x:c>
      <x:c r="Q304" s="2" t="str">
        <x:v>No</x:v>
      </x:c>
      <x:c r="R304" s="2" t="str">
        <x:v>No</x:v>
      </x:c>
      <x:c r="S304" s="2" t="str">
        <x:v>No</x:v>
      </x:c>
      <x:c r="T304" s="2" t="str">
        <x:v>The same prompt was applied independently to GPT-4, Claude Sonnet 4, and Gemini 2.5 Flash.</x:v>
      </x:c>
      <x:c r="U304" s="6" t="str">
        <x:v>p. 4; Section III-C</x:v>
      </x:c>
      <x:c r="V304" s="6" t="str">
        <x:v>Please observe and correct any kind of error that you encounter.</x:v>
      </x:c>
      <x:c r="W304" s="6" t="str">
        <x:v>The full task prompt is printed in the paper and no demonstrations, retrieval, fine tuning, or agent workflow are reported.</x:v>
      </x:c>
      <x:c r="X304" s="6" t="str">
        <x:v>R1 manual full-text extraction checked and confirmed on 2026-07-29. The representative model_use_id anchors a prompt shared by all three model uses for the operation.</x:v>
      </x:c>
    </x:row>
    <x:row r="305" ht="76" customHeight="1">
      <x:c r="A305" s="2" t="str">
        <x:v>S53</x:v>
      </x:c>
      <x:c r="B305" s="2" t="str">
        <x:v>S53-CF04</x:v>
      </x:c>
      <x:c r="C305" s="2" t="str">
        <x:v>S53-MU10</x:v>
      </x:c>
      <x:c r="D305" s="2" t="str">
        <x:v>S53-O04</x:v>
      </x:c>
      <x:c r="E305" s="2" t="str">
        <x:v>Prompting</x:v>
      </x:c>
      <x:c r="F305" s="2" t="str">
        <x:v>Product Test Specification Generation Prompt</x:v>
      </x:c>
      <x:c r="G305" s="2" t="str">
        <x:v>zero-shot prompting</x:v>
      </x:c>
      <x:c r="H305" s="6" t="str">
        <x:v>Generate requirement-linked test cases with steps and expected evaluations.</x:v>
      </x:c>
      <x:c r="I305" s="2" t="str">
        <x:v>Yes</x:v>
      </x:c>
      <x:c r="J305" s="2"/>
      <x:c r="K305" s="6" t="str">
        <x:v>Prompt design</x:v>
      </x:c>
      <x:c r="L305" s="2" t="str">
        <x:v>Few-shot/in-context examples</x:v>
      </x:c>
      <x:c r="M305" s="2" t="str">
        <x:v>Few-shot/in-context examples; Zero-shot prompting</x:v>
      </x:c>
      <x:c r="N305" s="2" t="str">
        <x:v>Yes</x:v>
      </x:c>
      <x:c r="O305" s="2" t="str">
        <x:v>Full text</x:v>
      </x:c>
      <x:c r="P305" s="2" t="str">
        <x:v>0</x:v>
      </x:c>
      <x:c r="Q305" s="2" t="str">
        <x:v>No</x:v>
      </x:c>
      <x:c r="R305" s="2" t="str">
        <x:v>No</x:v>
      </x:c>
      <x:c r="S305" s="2" t="str">
        <x:v>No</x:v>
      </x:c>
      <x:c r="T305" s="2" t="str">
        <x:v>The same prompt was applied independently to GPT-4, Claude Sonnet 4, and Gemini 2.5 Flash.</x:v>
      </x:c>
      <x:c r="U305" s="6" t="str">
        <x:v>pp. 4-5; Section III-D</x:v>
      </x:c>
      <x:c r="V305" s="6" t="str">
        <x:v>generate the derived product test cases specification to cover all these requirements</x:v>
      </x:c>
      <x:c r="W305" s="6" t="str">
        <x:v>The full task prompt is printed in the paper and no demonstrations, retrieval, fine tuning, or agent workflow are reported.</x:v>
      </x:c>
      <x:c r="X305" s="6" t="str">
        <x:v>R1 manual full-text extraction checked and confirmed on 2026-07-29. The representative model_use_id anchors a prompt shared by all three model uses for the operation.</x:v>
      </x:c>
    </x:row>
    <x:row r="306" ht="76" customHeight="1">
      <x:c r="A306" s="2" t="str">
        <x:v>G1</x:v>
      </x:c>
      <x:c r="B306" s="2" t="str">
        <x:v>G1-CF01</x:v>
      </x:c>
      <x:c r="C306" s="2" t="str">
        <x:v>G1-MU01</x:v>
      </x:c>
      <x:c r="D306" s="2" t="str">
        <x:v>G1-O01</x:v>
      </x:c>
      <x:c r="E306" s="2" t="str">
        <x:v>Prompting</x:v>
      </x:c>
      <x:c r="F306" s="2" t="str">
        <x:v>in-chat instructions</x:v>
      </x:c>
      <x:c r="G306" s="2" t="str">
        <x:v>prompt_in_chat</x:v>
      </x:c>
      <x:c r="H306" s="6" t="str">
        <x:v>the requirement and the scenario list are typed into the chat window together with a plain-language instruction such as perform requirement traceability of the above requirement with the below scenario</x:v>
      </x:c>
      <x:c r="I306" s="2" t="str">
        <x:v>Yes</x:v>
      </x:c>
      <x:c r="J306" s="2" t="str">
        <x:v>NA</x:v>
      </x:c>
      <x:c r="K306" s="6" t="str">
        <x:v>Prompt design</x:v>
      </x:c>
      <x:c r="L306" s="2" t="str">
        <x:v>in-chat instructions</x:v>
      </x:c>
      <x:c r="M306" s="2" t="str">
        <x:v>NR</x:v>
      </x:c>
      <x:c r="N306" s="2" t="str">
        <x:v>Yes</x:v>
      </x:c>
      <x:c r="O306" s="2" t="str">
        <x:v>Partial description</x:v>
      </x:c>
      <x:c r="P306" s="2" t="str">
        <x:v>NR</x:v>
      </x:c>
      <x:c r="Q306" s="2" t="str">
        <x:v>NR</x:v>
      </x:c>
      <x:c r="R306" s="2" t="str">
        <x:v>NR</x:v>
      </x:c>
      <x:c r="S306" s="2" t="str">
        <x:v>No</x:v>
      </x:c>
      <x:c r="T306" s="2" t="str">
        <x:v>Single instruction per turn; the instruction is re-typed when the coverage verdict requires another round.</x:v>
      </x:c>
      <x:c r="U306" s="6" t="str">
        <x:v>G1_video_page.png (upload date field, title, view count, likes) ; G1_page_description.png (view count, description text, hashtags, Udemy course links and coupon code) ; [00:00] ; [00:33] ; [00:37] ; [00:50] ; [01:18] ; [02:27] ; [02:33] ; [02:55] ; [03:17] ; [03:41] ; [03:52] ; [04:27] ; [05:04] ; [06:46] </x:v>
      </x:c>
      <x:c r="V306" s="6" t="str">
        <x:v>perform requirement traceability of the above requirement with the below scenario</x:v>
      </x:c>
      <x:c r="W306" s="6" t="str">
        <x:v>Only one instruction is quoted in the material; the remaining prompts are typed off screen, so the prompt detail level is partial.</x:v>
      </x:c>
      <x:c r="X306" s="6" t="str">
        <x:v>NR</x:v>
      </x:c>
    </x:row>
    <x:row r="307" ht="76" customHeight="1">
      <x:c r="A307" s="2" t="str">
        <x:v>G1</x:v>
      </x:c>
      <x:c r="B307" s="2" t="str">
        <x:v>G1-CF02</x:v>
      </x:c>
      <x:c r="C307" s="2" t="str">
        <x:v>G1-MU02</x:v>
      </x:c>
      <x:c r="D307" s="2" t="str">
        <x:v>G1-O02</x:v>
      </x:c>
      <x:c r="E307" s="2" t="str">
        <x:v>Calling and orchestration</x:v>
      </x:c>
      <x:c r="F307" s="2" t="str">
        <x:v>two-model hand-off</x:v>
      </x:c>
      <x:c r="G307" s="2" t="str">
        <x:v>two_model_handoff</x:v>
      </x:c>
      <x:c r="H307" s="6" t="str">
        <x:v>the scenarios written with version 3.5 are pasted into version 4, which performs the verification and the matrix construction</x:v>
      </x:c>
      <x:c r="I307" s="2" t="str">
        <x:v>Yes</x:v>
      </x:c>
      <x:c r="J307" s="2" t="str">
        <x:v>NA</x:v>
      </x:c>
      <x:c r="K307" s="6" t="str">
        <x:v>Invocation control</x:v>
      </x:c>
      <x:c r="L307" s="2" t="str">
        <x:v>two-model hand-off</x:v>
      </x:c>
      <x:c r="M307" s="2" t="str">
        <x:v>NR</x:v>
      </x:c>
      <x:c r="N307" s="2" t="str">
        <x:v>Yes</x:v>
      </x:c>
      <x:c r="O307" s="2" t="str">
        <x:v>Partial description</x:v>
      </x:c>
      <x:c r="P307" s="2" t="str">
        <x:v>NR</x:v>
      </x:c>
      <x:c r="Q307" s="2" t="str">
        <x:v>No</x:v>
      </x:c>
      <x:c r="R307" s="2" t="str">
        <x:v>No</x:v>
      </x:c>
      <x:c r="S307" s="2" t="str">
        <x:v>No</x:v>
      </x:c>
      <x:c r="T307" s="2" t="str">
        <x:v>Multi-model hand-off across two chat sessions, repeated whenever the verification reports an uncovered requirement.</x:v>
      </x:c>
      <x:c r="U307" s="6" t="str">
        <x:v>G1_video_page.png (upload date field, title, view count, likes) ; G1_page_description.png (view count, description text, hashtags, Udemy course links and coupon code) ; [00:00] ; [00:33] ; [00:37] ; [00:50] ; [01:18] ; [02:27] ; [02:33] ; [02:55] ; [03:17] ; [03:41] ; [03:52] ; [04:27] ; [05:04] ; [06:46] </x:v>
      </x:c>
      <x:c r="V307" s="6" t="str">
        <x:v>we're going to ask chat gpd to write the scenarios for us in version 3.5 ; paste it into chat gpd4 to ask us to verify if there requirement matches the test cases</x:v>
      </x:c>
      <x:c r="W307" s="6" t="str">
        <x:v>The workflow chains two model versions rather than one model with several prompts, and the hand-off is manual.</x:v>
      </x:c>
      <x:c r="X307" s="6" t="str">
        <x:v>NR</x:v>
      </x:c>
    </x:row>
    <x:row r="308" ht="76" customHeight="1">
      <x:c r="A308" s="2" t="str">
        <x:v>G2</x:v>
      </x:c>
      <x:c r="B308" s="2" t="str">
        <x:v>G2-CF01</x:v>
      </x:c>
      <x:c r="C308" s="2" t="str">
        <x:v>G2-MU01</x:v>
      </x:c>
      <x:c r="D308" s="2" t="str">
        <x:v>G2-O01</x:v>
      </x:c>
      <x:c r="E308" s="2" t="str">
        <x:v>Context construction</x:v>
      </x:c>
      <x:c r="F308" s="2" t="str">
        <x:v>retrieval augmented generation system</x:v>
      </x:c>
      <x:c r="G308" s="2" t="str">
        <x:v>rag_context</x:v>
      </x:c>
      <x:c r="H308" s="6" t="str">
        <x:v>a retrieval layer supplies the traceability information for the relevant variables and data sets so that the model answers from the graph instead of from the whole code base</x:v>
      </x:c>
      <x:c r="I308" s="2" t="str">
        <x:v>Yes</x:v>
      </x:c>
      <x:c r="J308" s="2" t="str">
        <x:v>NA</x:v>
      </x:c>
      <x:c r="K308" s="6" t="str">
        <x:v>Input/context construction</x:v>
      </x:c>
      <x:c r="L308" s="2" t="str">
        <x:v>retrieval augmented generation system</x:v>
      </x:c>
      <x:c r="M308" s="2" t="str">
        <x:v>NR</x:v>
      </x:c>
      <x:c r="N308" s="2" t="str">
        <x:v>NR</x:v>
      </x:c>
      <x:c r="O308" s="2" t="str">
        <x:v>NR</x:v>
      </x:c>
      <x:c r="P308" s="2" t="str">
        <x:v>NR</x:v>
      </x:c>
      <x:c r="Q308" s="2" t="str">
        <x:v>Yes</x:v>
      </x:c>
      <x:c r="R308" s="2" t="str">
        <x:v>No</x:v>
      </x:c>
      <x:c r="S308" s="2" t="str">
        <x:v>Yes</x:v>
      </x:c>
      <x:c r="T308" s="2" t="str">
        <x:v>Retrieval feeds a prompt that is enriched before the call, and the answer carries a confidence indication.</x:v>
      </x:c>
      <x:c r="U308" s="6" t="str">
        <x:v>G2_video_page.png (title, speaker and affiliation slide, channel, view count, likes) ; G2_page_description.png (page date, speaker attribution, description text, links) ; [00:59] ; [07:19] ; [07:32] ; [09:38] ; [10:14] ; [12:17] ; [12:24] ; [14:08] ; [17:39] ; [21:09] ; [26:46] ; [32:49] ; [37:01] ; [38:58] ; [39:01] ; [39:17] ; [40:47] </x:v>
      </x:c>
      <x:c r="V308" s="6" t="str">
        <x:v>what we do is we use a rag system which provides additional context and we generate prompts</x:v>
      </x:c>
      <x:c r="W308" s="6" t="str">
        <x:v>Retrieval is the mechanism the presenter gives for keeping the model on traceable evidence rather than on the whole code base.</x:v>
      </x:c>
      <x:c r="X308" s="6" t="str">
        <x:v>NR</x:v>
      </x:c>
    </x:row>
    <x:row r="309" ht="76" customHeight="1">
      <x:c r="A309" s="2" t="str">
        <x:v>G2</x:v>
      </x:c>
      <x:c r="B309" s="2" t="str">
        <x:v>G2-CF02</x:v>
      </x:c>
      <x:c r="C309" s="2" t="str">
        <x:v>G2-MU02</x:v>
      </x:c>
      <x:c r="D309" s="2" t="str">
        <x:v>G2-O02</x:v>
      </x:c>
      <x:c r="E309" s="2" t="str">
        <x:v>Prompting</x:v>
      </x:c>
      <x:c r="F309" s="2" t="str">
        <x:v>prompt enrichment layer</x:v>
      </x:c>
      <x:c r="G309" s="2" t="str">
        <x:v>prompt_enrichment</x:v>
      </x:c>
      <x:c r="H309" s="6" t="str">
        <x:v>the generated prompts carry only the traceable code lines and metadata that are needed to answer, so the information density is high and the prompt stays inside the statically derived evidence</x:v>
      </x:c>
      <x:c r="I309" s="2" t="str">
        <x:v>Yes</x:v>
      </x:c>
      <x:c r="J309" s="2" t="str">
        <x:v>NA</x:v>
      </x:c>
      <x:c r="K309" s="6" t="str">
        <x:v>Prompt design</x:v>
      </x:c>
      <x:c r="L309" s="2" t="str">
        <x:v>prompt enrichment layer</x:v>
      </x:c>
      <x:c r="M309" s="2" t="str">
        <x:v>NR</x:v>
      </x:c>
      <x:c r="N309" s="2" t="str">
        <x:v>NR</x:v>
      </x:c>
      <x:c r="O309" s="2" t="str">
        <x:v>NR</x:v>
      </x:c>
      <x:c r="P309" s="2" t="str">
        <x:v>NR</x:v>
      </x:c>
      <x:c r="Q309" s="2" t="str">
        <x:v>Yes</x:v>
      </x:c>
      <x:c r="R309" s="2" t="str">
        <x:v>No</x:v>
      </x:c>
      <x:c r="S309" s="2" t="str">
        <x:v>Yes</x:v>
      </x:c>
      <x:c r="T309" s="2" t="str">
        <x:v>One enriched prompt per question, built from the retrieval result.</x:v>
      </x:c>
      <x:c r="U309" s="6" t="str">
        <x:v>G2_video_page.png (title, speaker and affiliation slide, channel, view count, likes) ; G2_page_description.png (page date, speaker attribution, description text, links) ; [00:59] ; [07:19] ; [07:32] ; [09:38] ; [10:14] ; [12:17] ; [12:24] ; [14:08] ; [17:39] ; [21:09] ; [26:46] ; [32:49] ; [37:01] ; [38:58] ; [39:01] ; [39:17] ; [40:47] </x:v>
      </x:c>
      <x:c r="V309" s="6" t="str">
        <x:v>we generate prompts where the information density is so dense that it only contains the information that it needs to answer</x:v>
      </x:c>
      <x:c r="W309" s="6" t="str">
        <x:v>The prompt is constructed by the platform from the graph rather than written by the user, which is why the prompt availability field stays NR.</x:v>
      </x:c>
      <x:c r="X309" s="6" t="str">
        <x:v>NR</x:v>
      </x:c>
    </x:row>
    <x:row r="310" ht="76" customHeight="1">
      <x:c r="A310" s="2" t="str">
        <x:v>G2</x:v>
      </x:c>
      <x:c r="B310" s="2" t="str">
        <x:v>G2-CF03</x:v>
      </x:c>
      <x:c r="C310" s="2" t="str">
        <x:v>G2-MU03</x:v>
      </x:c>
      <x:c r="D310" s="2" t="str">
        <x:v>G2-O03</x:v>
      </x:c>
      <x:c r="E310" s="2" t="str">
        <x:v>Adaptation</x:v>
      </x:c>
      <x:c r="F310" s="2" t="str">
        <x:v>training the pre-trained models on SAS specifics</x:v>
      </x:c>
      <x:c r="G310" s="2" t="str">
        <x:v>domain_adaptation_planned</x:v>
      </x:c>
      <x:c r="H310" s="6" t="str">
        <x:v>the talk states that the largely pre-trained models will now be trained on SAS specifics</x:v>
      </x:c>
      <x:c r="I310" s="2" t="str">
        <x:v>No</x:v>
      </x:c>
      <x:c r="J310" s="2" t="str">
        <x:v>Planned adaptation or independent tool orchestration</x:v>
      </x:c>
      <x:c r="K310" s="6" t="str">
        <x:v>Invocation control</x:v>
      </x:c>
      <x:c r="L310" s="2" t="str">
        <x:v>training the pre-trained models on SAS specifics</x:v>
      </x:c>
      <x:c r="M310" s="2" t="str">
        <x:v>NR</x:v>
      </x:c>
      <x:c r="N310" s="2" t="str">
        <x:v>NR</x:v>
      </x:c>
      <x:c r="O310" s="2" t="str">
        <x:v>NR</x:v>
      </x:c>
      <x:c r="P310" s="2" t="str">
        <x:v>NR</x:v>
      </x:c>
      <x:c r="Q310" s="2" t="str">
        <x:v>Yes</x:v>
      </x:c>
      <x:c r="R310" s="2" t="str">
        <x:v>No</x:v>
      </x:c>
      <x:c r="S310" s="2" t="str">
        <x:v>Yes</x:v>
      </x:c>
      <x:c r="T310" s="2" t="str">
        <x:v>Adaptation is stated as a next step rather than as part of the demonstrated configuration.</x:v>
      </x:c>
      <x:c r="U310" s="6" t="str">
        <x:v>G2_video_page.png (title, speaker and affiliation slide, channel, view count, likes) ; G2_page_description.png (page date, speaker attribution, description text, links) ; [00:59] ; [07:19] ; [07:32] ; [09:38] ; [10:14] ; [12:17] ; [12:24] ; [14:08] ; [17:39] ; [21:09] ; [26:46] ; [32:49] ; [37:01] ; [38:58] ; [39:01] ; [39:17] ; [40:47] </x:v>
      </x:c>
      <x:c r="V310" s="6" t="str">
        <x:v>we use largely pre-trained models but we will now train them on sas specifics mostly</x:v>
      </x:c>
      <x:c r="W310" s="6" t="str">
        <x:v>Recorded as an adaptation feature with fine tuning marked No because the talk presents the training as about to start.</x:v>
      </x:c>
      <x:c r="X310" s="6" t="str">
        <x:v>NR</x:v>
      </x:c>
    </x:row>
    <x:row r="311" ht="76" customHeight="1">
      <x:c r="A311" s="2" t="str">
        <x:v>G3</x:v>
      </x:c>
      <x:c r="B311" s="2" t="str">
        <x:v>G3-CF01</x:v>
      </x:c>
      <x:c r="C311" s="2" t="str">
        <x:v>G3-MU02</x:v>
      </x:c>
      <x:c r="D311" s="2" t="str">
        <x:v>G3-O02</x:v>
      </x:c>
      <x:c r="E311" s="2" t="str">
        <x:v>Context construction</x:v>
      </x:c>
      <x:c r="F311" s="2" t="str">
        <x:v>vector service powered by phase embeddings</x:v>
      </x:c>
      <x:c r="G311" s="2" t="str">
        <x:v>transcript_embedding</x:v>
      </x:c>
      <x:c r="H311" s="6" t="str">
        <x:v>the transcript is embedded through the vector service before entity and relationship extraction</x:v>
      </x:c>
      <x:c r="I311" s="2" t="str">
        <x:v>Yes</x:v>
      </x:c>
      <x:c r="J311" s="2" t="str">
        <x:v>NA</x:v>
      </x:c>
      <x:c r="K311" s="6" t="str">
        <x:v>Input/context construction</x:v>
      </x:c>
      <x:c r="L311" s="2" t="str">
        <x:v>vector service powered by phase embeddings</x:v>
      </x:c>
      <x:c r="M311" s="2" t="str">
        <x:v>NR</x:v>
      </x:c>
      <x:c r="N311" s="2" t="str">
        <x:v>NR</x:v>
      </x:c>
      <x:c r="O311" s="2" t="str">
        <x:v>NR</x:v>
      </x:c>
      <x:c r="P311" s="2" t="str">
        <x:v>NR</x:v>
      </x:c>
      <x:c r="Q311" s="2" t="str">
        <x:v>NR</x:v>
      </x:c>
      <x:c r="R311" s="2" t="str">
        <x:v>NR</x:v>
      </x:c>
      <x:c r="S311" s="2" t="str">
        <x:v>NR</x:v>
      </x:c>
      <x:c r="T311" s="2" t="str">
        <x:v>One embedding pass per uploaded recording.</x:v>
      </x:c>
      <x:c r="U311" s="6" t="str">
        <x:v>G3_video_page.png (title, channel, view count, likes) ; G3_page_description.png (page date, description text, feature list, uploading account) ; [00:01] ; [00:10] ; [00:30] ; [00:45] ; [00:54] ; [01:04] ; [01:14] ; [01:26] ; [01:32] ; [01:39] ; [02:05] ; [02:15] ; [02:56] ; [03:13] </x:v>
      </x:c>
      <x:c r="V311" s="6" t="str">
        <x:v>next, we pass this transcript through our vector service powered by phase embeddings</x:v>
      </x:c>
      <x:c r="W311" s="6" t="str">
        <x:v>The embedding step is what gives the pipeline semantic access to the transcript, and the material reports no retrieval over it.</x:v>
      </x:c>
      <x:c r="X311" s="6" t="str">
        <x:v>NR</x:v>
      </x:c>
    </x:row>
    <x:row r="312" ht="76" customHeight="1">
      <x:c r="A312" s="2" t="str">
        <x:v>G4</x:v>
      </x:c>
      <x:c r="B312" s="2" t="str">
        <x:v>G4-CF01</x:v>
      </x:c>
      <x:c r="C312" s="2" t="str">
        <x:v>G4-MU01</x:v>
      </x:c>
      <x:c r="D312" s="2" t="str">
        <x:v>G4-O01</x:v>
      </x:c>
      <x:c r="E312" s="2" t="str">
        <x:v>Calling and orchestration</x:v>
      </x:c>
      <x:c r="F312" s="2" t="str">
        <x:v>modular task-specific micro-agents</x:v>
      </x:c>
      <x:c r="G312" s="2" t="str">
        <x:v>micro_agents</x:v>
      </x:c>
      <x:c r="H312" s="6" t="str">
        <x:v>the approach uses modular, task-specific micro-agents designed for precisely defined use cases within controlled contexts, so each step runs with a narrow purpose</x:v>
      </x:c>
      <x:c r="I312" s="2" t="str">
        <x:v>Yes</x:v>
      </x:c>
      <x:c r="J312" s="2" t="str">
        <x:v>NA</x:v>
      </x:c>
      <x:c r="K312" s="6" t="str">
        <x:v>Invocation control</x:v>
      </x:c>
      <x:c r="L312" s="2" t="str">
        <x:v>modular task-specific micro-agents</x:v>
      </x:c>
      <x:c r="M312" s="2" t="str">
        <x:v>NR</x:v>
      </x:c>
      <x:c r="N312" s="2" t="str">
        <x:v>NR</x:v>
      </x:c>
      <x:c r="O312" s="2" t="str">
        <x:v>NR</x:v>
      </x:c>
      <x:c r="P312" s="2" t="str">
        <x:v>NR</x:v>
      </x:c>
      <x:c r="Q312" s="2" t="str">
        <x:v>NR</x:v>
      </x:c>
      <x:c r="R312" s="2" t="str">
        <x:v>NR</x:v>
      </x:c>
      <x:c r="S312" s="2" t="str">
        <x:v>Yes</x:v>
      </x:c>
      <x:c r="T312" s="2" t="str">
        <x:v>Each micro-agent covers one precisely defined task inside a controlled context.</x:v>
      </x:c>
      <x:c r="U312"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V312" s="6" t="str">
        <x:v>Vector's approach is based on modular, task-specific micro-agents designed for precisely defined use cases within controlled contexts.</x:v>
      </x:c>
      <x:c r="W312" s="6" t="str">
        <x:v>The orchestration is scoped by design, and the page presents the narrow agent context as the safety argument.</x:v>
      </x:c>
      <x:c r="X312" s="6" t="str">
        <x:v>NR</x:v>
      </x:c>
    </x:row>
    <x:row r="313" ht="76" customHeight="1">
      <x:c r="A313" s="2" t="str">
        <x:v>G4</x:v>
      </x:c>
      <x:c r="B313" s="2" t="str">
        <x:v>G4-CF02</x:v>
      </x:c>
      <x:c r="C313" s="2" t="str">
        <x:v>G4-MU01</x:v>
      </x:c>
      <x:c r="D313" s="2" t="str">
        <x:v>G4-O01</x:v>
      </x:c>
      <x:c r="E313" s="2" t="str">
        <x:v>Other</x:v>
      </x:c>
      <x:c r="F313" s="2" t="str">
        <x:v>Bring Your Own Model</x:v>
      </x:c>
      <x:c r="G313" s="2" t="str">
        <x:v>byom</x:v>
      </x:c>
      <x:c r="H313" s="6" t="str">
        <x:v>the customer selects the model and on-premises, cloud and hybrid deployment are all stated</x:v>
      </x:c>
      <x:c r="I313" s="2" t="str">
        <x:v>Yes</x:v>
      </x:c>
      <x:c r="J313" s="2" t="str">
        <x:v>NA</x:v>
      </x:c>
      <x:c r="K313" s="6" t="str">
        <x:v>Invocation control</x:v>
      </x:c>
      <x:c r="L313" s="2" t="str">
        <x:v>Bring Your Own Model</x:v>
      </x:c>
      <x:c r="M313" s="2" t="str">
        <x:v>NR</x:v>
      </x:c>
      <x:c r="N313" s="2" t="str">
        <x:v>NR</x:v>
      </x:c>
      <x:c r="O313" s="2" t="str">
        <x:v>NR</x:v>
      </x:c>
      <x:c r="P313" s="2" t="str">
        <x:v>NR</x:v>
      </x:c>
      <x:c r="Q313" s="2" t="str">
        <x:v>NR</x:v>
      </x:c>
      <x:c r="R313" s="2" t="str">
        <x:v>NR</x:v>
      </x:c>
      <x:c r="S313" s="2" t="str">
        <x:v>Yes</x:v>
      </x:c>
      <x:c r="T313" s="2" t="str">
        <x:v>The model choice is left to the customer, so the configuration is not fixed by the vendor.</x:v>
      </x:c>
      <x:c r="U313"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V313" s="6" t="str">
        <x:v>Bring Your Own Model</x:v>
      </x:c>
      <x:c r="W313" s="6" t="str">
        <x:v>The model-selection freedom is recorded as a configuration feature because it determines how the tool is deployed.</x:v>
      </x:c>
      <x:c r="X313" s="6" t="str">
        <x:v>NR</x:v>
      </x:c>
    </x:row>
    <x:row r="314" ht="76" customHeight="1">
      <x:c r="A314" s="2" t="str">
        <x:v>G5</x:v>
      </x:c>
      <x:c r="B314" s="2" t="str">
        <x:v>G5-CF01</x:v>
      </x:c>
      <x:c r="C314" s="2" t="str">
        <x:v>G5-MU01</x:v>
      </x:c>
      <x:c r="D314" s="2" t="str">
        <x:v>G5-O01</x:v>
      </x:c>
      <x:c r="E314" s="2" t="str">
        <x:v>Context construction</x:v>
      </x:c>
      <x:c r="F314" s="2" t="str">
        <x:v>RAG and vector databases</x:v>
      </x:c>
      <x:c r="G314" s="2" t="str">
        <x:v>rag_context</x:v>
      </x:c>
      <x:c r="H314" s="6" t="str">
        <x:v>retrieval augmented generation over vector databases adds context to the requirement and code scope information before the model answers</x:v>
      </x:c>
      <x:c r="I314" s="2" t="str">
        <x:v>Yes</x:v>
      </x:c>
      <x:c r="J314" s="2" t="str">
        <x:v>NA</x:v>
      </x:c>
      <x:c r="K314" s="6" t="str">
        <x:v>Input/context construction</x:v>
      </x:c>
      <x:c r="L314" s="2" t="str">
        <x:v>RAG and vector databases</x:v>
      </x:c>
      <x:c r="M314" s="2" t="str">
        <x:v>NR</x:v>
      </x:c>
      <x:c r="N314" s="2" t="str">
        <x:v>NR</x:v>
      </x:c>
      <x:c r="O314" s="2" t="str">
        <x:v>NR</x:v>
      </x:c>
      <x:c r="P314" s="2" t="str">
        <x:v>NR</x:v>
      </x:c>
      <x:c r="Q314" s="2" t="str">
        <x:v>Yes</x:v>
      </x:c>
      <x:c r="R314" s="2" t="str">
        <x:v>NR</x:v>
      </x:c>
      <x:c r="S314" s="2" t="str">
        <x:v>Yes</x:v>
      </x:c>
      <x:c r="T314" s="2" t="str">
        <x:v>Retrieval is part of the described approach; the talk does not describe how many retrieval rounds are used.</x:v>
      </x:c>
      <x:c r="U314"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V314" s="6" t="str">
        <x:v>RAG and vector databases add context</x:v>
      </x:c>
      <x:c r="W314" s="6" t="str">
        <x:v>The talk presents retrieval as the way to give the model enough context, and it also warns that insufficient context causes hallucination.</x:v>
      </x:c>
      <x:c r="X314" s="6" t="str">
        <x:v>NR</x:v>
      </x:c>
    </x:row>
    <x:row r="315" ht="76" customHeight="1">
      <x:c r="A315" s="2" t="str">
        <x:v>G5</x:v>
      </x:c>
      <x:c r="B315" s="2" t="str">
        <x:v>G5-CF02</x:v>
      </x:c>
      <x:c r="C315" s="2" t="str">
        <x:v>G5-MU03</x:v>
      </x:c>
      <x:c r="D315" s="2" t="str">
        <x:v>G5-O03</x:v>
      </x:c>
      <x:c r="E315" s="2" t="str">
        <x:v>Calling and orchestration</x:v>
      </x:c>
      <x:c r="F315" s="2" t="str">
        <x:v>MCP protocol and command-line interfaces</x:v>
      </x:c>
      <x:c r="G315" s="2" t="str">
        <x:v>tool_orchestration</x:v>
      </x:c>
      <x:c r="H315" s="6" t="str">
        <x:v>the MCP protocol and command-line interfaces let the model reach the local test and analysis tools and the target</x:v>
      </x:c>
      <x:c r="I315" s="2" t="str">
        <x:v>No</x:v>
      </x:c>
      <x:c r="J315" s="2" t="str">
        <x:v>Planned adaptation or independent tool orchestration</x:v>
      </x:c>
      <x:c r="K315" s="6" t="str">
        <x:v>Invocation control</x:v>
      </x:c>
      <x:c r="L315" s="2" t="str">
        <x:v>MCP protocol and command-line interfaces</x:v>
      </x:c>
      <x:c r="M315" s="2" t="str">
        <x:v>NR</x:v>
      </x:c>
      <x:c r="N315" s="2" t="str">
        <x:v>NR</x:v>
      </x:c>
      <x:c r="O315" s="2" t="str">
        <x:v>NR</x:v>
      </x:c>
      <x:c r="P315" s="2" t="str">
        <x:v>NR</x:v>
      </x:c>
      <x:c r="Q315" s="2" t="str">
        <x:v>Yes</x:v>
      </x:c>
      <x:c r="R315" s="2" t="str">
        <x:v>NR</x:v>
      </x:c>
      <x:c r="S315" s="2" t="str">
        <x:v>Yes</x:v>
      </x:c>
      <x:c r="T315" s="2" t="str">
        <x:v>Tool calls are issued from the model side and the target execution stays with the deterministic tools.</x:v>
      </x:c>
      <x:c r="U31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V315" s="6" t="str">
        <x:v>mcp protocols which is a you know an http based protocol that allows llms to access local tools</x:v>
      </x:c>
      <x:c r="W315" s="6" t="str">
        <x:v>The protocol is the integration boundary between the model and the tool chain, and it is what keeps execution deterministic.</x:v>
      </x:c>
      <x:c r="X315" s="6" t="str">
        <x:v>NR</x:v>
      </x:c>
    </x:row>
    <x:row r="316" ht="76" customHeight="1">
      <x:c r="A316" s="2" t="str">
        <x:v>G6</x:v>
      </x:c>
      <x:c r="B316" s="2" t="str">
        <x:v>G6-CF01</x:v>
      </x:c>
      <x:c r="C316" s="2" t="str">
        <x:v>G6-MU02</x:v>
      </x:c>
      <x:c r="D316" s="2" t="str">
        <x:v>G6-O02</x:v>
      </x:c>
      <x:c r="E316" s="2" t="str">
        <x:v>Context construction</x:v>
      </x:c>
      <x:c r="F316" s="2" t="str">
        <x:v>MC/DC truth table and test case template fed to the model</x:v>
      </x:c>
      <x:c r="G316" s="2" t="str">
        <x:v>constrained_input</x:v>
      </x:c>
      <x:c r="H316" s="6" t="str">
        <x:v>the truth table and the test case template are supplied together with the requirements and previously written test cases so that the answer space is constrained and hallucination is reduced</x:v>
      </x:c>
      <x:c r="I316" s="2" t="str">
        <x:v>Yes</x:v>
      </x:c>
      <x:c r="J316" s="2" t="str">
        <x:v>NA</x:v>
      </x:c>
      <x:c r="K316" s="6" t="str">
        <x:v>Input/context construction</x:v>
      </x:c>
      <x:c r="L316" s="2" t="str">
        <x:v>MC/DC truth table and test case template fed to the model</x:v>
      </x:c>
      <x:c r="M316" s="2" t="str">
        <x:v>NR</x:v>
      </x:c>
      <x:c r="N316" s="2" t="str">
        <x:v>NR</x:v>
      </x:c>
      <x:c r="O316" s="2" t="str">
        <x:v>NR</x:v>
      </x:c>
      <x:c r="P316" s="2" t="str">
        <x:v>NR</x:v>
      </x:c>
      <x:c r="Q316" s="2" t="str">
        <x:v>NR</x:v>
      </x:c>
      <x:c r="R316" s="2" t="str">
        <x:v>NR</x:v>
      </x:c>
      <x:c r="S316" s="2" t="str">
        <x:v>NR</x:v>
      </x:c>
      <x:c r="T316" s="2" t="str">
        <x:v>One constrained request per decision under test, with the template fixing the output shape.</x:v>
      </x:c>
      <x:c r="U316"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V316" s="6" t="str">
        <x:v>we can feed this truth table as well as the test case template</x:v>
      </x:c>
      <x:c r="W316" s="6" t="str">
        <x:v>Supplying deterministic structure with the request is the mitigation the speaker describes for hallucination in this step.</x:v>
      </x:c>
      <x:c r="X316" s="6" t="str">
        <x:v>NR</x:v>
      </x:c>
    </x:row>
    <x:row r="317" ht="76" customHeight="1">
      <x:c r="A317" s="2" t="str">
        <x:v>G7</x:v>
      </x:c>
      <x:c r="B317" s="2" t="str">
        <x:v>G7-CF01</x:v>
      </x:c>
      <x:c r="C317" s="2" t="str">
        <x:v>G7-MU02</x:v>
      </x:c>
      <x:c r="D317" s="2" t="str">
        <x:v>G7-O02</x:v>
      </x:c>
      <x:c r="E317" s="2" t="str">
        <x:v>Context construction</x:v>
      </x:c>
      <x:c r="F317" s="2" t="str">
        <x:v>MCP query interface and command-line tools over the traceability graph</x:v>
      </x:c>
      <x:c r="G317" s="2" t="str">
        <x:v>filtered_retrieval</x:v>
      </x:c>
      <x:c r="H317" s="6" t="str">
        <x:v>the agent retrieves only the needs and links that the query exposes instead of indexing the whole document and code base</x:v>
      </x:c>
      <x:c r="I317" s="2" t="str">
        <x:v>Yes</x:v>
      </x:c>
      <x:c r="J317" s="2" t="str">
        <x:v>NA</x:v>
      </x:c>
      <x:c r="K317" s="6" t="str">
        <x:v>Input/context construction</x:v>
      </x:c>
      <x:c r="L317" s="2" t="str">
        <x:v>MCP query interface and command-line tools over the traceability graph</x:v>
      </x:c>
      <x:c r="M317" s="2" t="str">
        <x:v>NR</x:v>
      </x:c>
      <x:c r="N317" s="2" t="str">
        <x:v>NR</x:v>
      </x:c>
      <x:c r="O317" s="2" t="str">
        <x:v>NR</x:v>
      </x:c>
      <x:c r="P317" s="2" t="str">
        <x:v>NR</x:v>
      </x:c>
      <x:c r="Q317" s="2" t="str">
        <x:v>Yes</x:v>
      </x:c>
      <x:c r="R317" s="2" t="str">
        <x:v>NR</x:v>
      </x:c>
      <x:c r="S317" s="2" t="str">
        <x:v>Yes</x:v>
      </x:c>
      <x:c r="T317" s="2" t="str">
        <x:v>The retrieval scope is fixed by the query and the tool filtering before the model is called.</x:v>
      </x:c>
      <x:c r="U317"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V317" s="6" t="str">
        <x:v>so, therefore sphinx needs also can be filtered and by tools ; so that at the end we have full control about 100% of the input data which really goes to an llm</x:v>
      </x:c>
      <x:c r="W317" s="6" t="str">
        <x:v>Retrieval is used as a governance mechanism rather than only as a relevance mechanism.</x:v>
      </x:c>
      <x:c r="X317" s="6" t="str">
        <x:v>NR</x:v>
      </x:c>
    </x:row>
    <x:row r="318" ht="76" customHeight="1">
      <x:c r="A318" s="2" t="str">
        <x:v>G7</x:v>
      </x:c>
      <x:c r="B318" s="2" t="str">
        <x:v>G7-CF02</x:v>
      </x:c>
      <x:c r="C318" s="2" t="str">
        <x:v>G7-MU01</x:v>
      </x:c>
      <x:c r="D318" s="2" t="str">
        <x:v>G7-O01</x:v>
      </x:c>
      <x:c r="E318" s="2" t="str">
        <x:v>Calling and orchestration</x:v>
      </x:c>
      <x:c r="F318" s="2" t="str">
        <x:v>Pharaoh agentic framework</x:v>
      </x:c>
      <x:c r="G318" s="2" t="str">
        <x:v>agent_scaffold</x:v>
      </x:c>
      <x:c r="H318" s="6" t="str">
        <x:v>agents are defined with instructions, skills and tools and operate on the graph through the MCP server, so the agent definition itself is a versioned project artefact</x:v>
      </x:c>
      <x:c r="I318" s="2" t="str">
        <x:v>No</x:v>
      </x:c>
      <x:c r="J318" s="2" t="str">
        <x:v>Planned adaptation or independent tool orchestration</x:v>
      </x:c>
      <x:c r="K318" s="6" t="str">
        <x:v>Invocation control</x:v>
      </x:c>
      <x:c r="L318" s="2" t="str">
        <x:v>Pharaoh agentic framework</x:v>
      </x:c>
      <x:c r="M318" s="2" t="str">
        <x:v>NR</x:v>
      </x:c>
      <x:c r="N318" s="2" t="str">
        <x:v>NR</x:v>
      </x:c>
      <x:c r="O318" s="2" t="str">
        <x:v>NR</x:v>
      </x:c>
      <x:c r="P318" s="2" t="str">
        <x:v>NR</x:v>
      </x:c>
      <x:c r="Q318" s="2" t="str">
        <x:v>Yes</x:v>
      </x:c>
      <x:c r="R318" s="2" t="str">
        <x:v>NR</x:v>
      </x:c>
      <x:c r="S318" s="2" t="str">
        <x:v>Yes</x:v>
      </x:c>
      <x:c r="T318" s="2" t="str">
        <x:v>The agent runs as a scaffold around the model, and the talk reports that instructions can be lost across repeated runs.</x:v>
      </x:c>
      <x:c r="U318"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V318" s="6" t="str">
        <x:v>we have created an agentic system called pharaoh, which is able ; respected by the llm call</x:v>
      </x:c>
      <x:c r="W318" s="6" t="str">
        <x:v>The agent definition is treated as configuration that should be traceable like any other artefact.</x:v>
      </x:c>
      <x:c r="X318" s="6" t="str">
        <x:v>NR</x:v>
      </x:c>
    </x:row>
    <x:row r="319" ht="76" customHeight="1">
      <x:c r="A319" s="2" t="str">
        <x:v>G8</x:v>
      </x:c>
      <x:c r="B319" s="2" t="str">
        <x:v>G8-CF01</x:v>
      </x:c>
      <x:c r="C319" s="2" t="str">
        <x:v>G8-MU01</x:v>
      </x:c>
      <x:c r="D319" s="2" t="str">
        <x:v>G8-O01</x:v>
      </x:c>
      <x:c r="E319" s="2" t="str">
        <x:v>Calling and orchestration</x:v>
      </x:c>
      <x:c r="F319" s="2" t="str">
        <x:v>per-requirement call to Claude</x:v>
      </x:c>
      <x:c r="G319" s="2" t="str">
        <x:v>per_requirement_call</x:v>
      </x:c>
      <x:c r="H319" s="6" t="str">
        <x:v>each requirement is processed in its own call, with the relevant source file selected before the call</x:v>
      </x:c>
      <x:c r="I319" s="2" t="str">
        <x:v>Yes</x:v>
      </x:c>
      <x:c r="J319" s="2" t="str">
        <x:v>NA</x:v>
      </x:c>
      <x:c r="K319" s="6" t="str">
        <x:v>Invocation control</x:v>
      </x:c>
      <x:c r="L319" s="2" t="str">
        <x:v>per-requirement call to Claude</x:v>
      </x:c>
      <x:c r="M319" s="2" t="str">
        <x:v>NR</x:v>
      </x:c>
      <x:c r="N319" s="2" t="str">
        <x:v>NR</x:v>
      </x:c>
      <x:c r="O319" s="2" t="str">
        <x:v>NR</x:v>
      </x:c>
      <x:c r="P319" s="2" t="str">
        <x:v>NR</x:v>
      </x:c>
      <x:c r="Q319" s="2" t="str">
        <x:v>No</x:v>
      </x:c>
      <x:c r="R319" s="2" t="str">
        <x:v>NR</x:v>
      </x:c>
      <x:c r="S319" s="2" t="str">
        <x:v>Yes</x:v>
      </x:c>
      <x:c r="T319" s="2" t="str">
        <x:v>One model call per requirement, with no retrieval in the demonstrated configuration.</x:v>
      </x:c>
      <x:c r="U319"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V319" s="6" t="str">
        <x:v>for each requirement um it selects the relevant c file and calls claude and maps the requirement to code</x:v>
      </x:c>
      <x:c r="W319" s="6" t="str">
        <x:v>The per-requirement loop is what makes the run slow, and the material states that retrieval is planned to remove the delay.</x:v>
      </x:c>
      <x:c r="X319" s="6" t="str">
        <x:v>NR</x:v>
      </x:c>
    </x:row>
    <x:row r="320" ht="76" customHeight="1">
      <x:c r="A320" s="2" t="str">
        <x:v>G8</x:v>
      </x:c>
      <x:c r="B320" s="2" t="str">
        <x:v>G8-CF02</x:v>
      </x:c>
      <x:c r="C320" s="2" t="str">
        <x:v>G8-MU01</x:v>
      </x:c>
      <x:c r="D320" s="2" t="str">
        <x:v>G8-O01</x:v>
      </x:c>
      <x:c r="E320" s="2" t="str">
        <x:v>Context construction</x:v>
      </x:c>
      <x:c r="F320" s="2" t="str">
        <x:v>per-application json configuration file</x:v>
      </x:c>
      <x:c r="G320" s="2" t="str">
        <x:v>context_scoping</x:v>
      </x:c>
      <x:c r="H320" s="6" t="str">
        <x:v>a short per-application configuration file tells the RTM generator which source files to load for each requirement</x:v>
      </x:c>
      <x:c r="I320" s="2" t="str">
        <x:v>Yes</x:v>
      </x:c>
      <x:c r="J320" s="2" t="str">
        <x:v>NA</x:v>
      </x:c>
      <x:c r="K320" s="6" t="str">
        <x:v>Input/context construction</x:v>
      </x:c>
      <x:c r="L320" s="2" t="str">
        <x:v>per-application json configuration file</x:v>
      </x:c>
      <x:c r="M320" s="2" t="str">
        <x:v>NR</x:v>
      </x:c>
      <x:c r="N320" s="2" t="str">
        <x:v>NR</x:v>
      </x:c>
      <x:c r="O320" s="2" t="str">
        <x:v>NR</x:v>
      </x:c>
      <x:c r="P320" s="2" t="str">
        <x:v>NR</x:v>
      </x:c>
      <x:c r="Q320" s="2" t="str">
        <x:v>No</x:v>
      </x:c>
      <x:c r="R320" s="2" t="str">
        <x:v>NR</x:v>
      </x:c>
      <x:c r="S320" s="2" t="str">
        <x:v>Yes</x:v>
      </x:c>
      <x:c r="T320" s="2" t="str">
        <x:v>The file selection is re-read for every requirement, and no retrieval layer is used in the demonstrated configuration.</x:v>
      </x:c>
      <x:c r="U320"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V320" s="6" t="str">
        <x:v>this file tells the rtm generator which source files to load for each requirement</x:v>
      </x:c>
      <x:c r="W320" s="6" t="str">
        <x:v>Context is scoped by configuration rather than by retrieval, which keeps the input small but requires the file list to be maintained.</x:v>
      </x:c>
      <x:c r="X320" s="6" t="str">
        <x:v>NR</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0" hidden="0" customWidth="1"/>
    <x:col min="3" max="3" width="52"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52" hidden="0" customWidth="1"/>
    <x:col min="14" max="14" width="20" hidden="0" customWidth="1"/>
    <x:col min="15" max="15" width="52"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s>
  <x:sheetData>
    <x:row r="1" ht="38" customHeight="1">
      <x:c r="A1" s="5" t="str">
        <x:v>Study ID</x:v>
      </x:c>
      <x:c r="B1" s="5" t="str">
        <x:v>Citation key</x:v>
      </x:c>
      <x:c r="C1" s="5" t="str">
        <x:v>Title</x:v>
      </x:c>
      <x:c r="D1" s="5" t="str">
        <x:v>Year</x:v>
      </x:c>
      <x:c r="E1" s="5" t="str">
        <x:v>Publication status</x:v>
      </x:c>
      <x:c r="F1" s="5" t="str">
        <x:v>Prompting reported</x:v>
      </x:c>
      <x:c r="G1" s="5" t="str">
        <x:v>Structured/template prompting</x:v>
      </x:c>
      <x:c r="H1" s="5" t="str">
        <x:v>Reasoning elicitation</x:v>
      </x:c>
      <x:c r="I1" s="5" t="str">
        <x:v>Few-shot/in-context examples</x:v>
      </x:c>
      <x:c r="J1" s="5" t="str">
        <x:v>Zero-shot prompting</x:v>
      </x:c>
      <x:c r="K1" s="5" t="str">
        <x:v>Role/system/persona prompting</x:v>
      </x:c>
      <x:c r="L1" s="5" t="str">
        <x:v>Iterative or staged prompting</x:v>
      </x:c>
      <x:c r="M1" s="5" t="str">
        <x:v>Input/context construction</x:v>
      </x:c>
      <x:c r="N1" s="5" t="str">
        <x:v>Retrieved context</x:v>
      </x:c>
      <x:c r="O1" s="5" t="str">
        <x:v>Output specification</x:v>
      </x:c>
      <x:c r="P1" s="5" t="str">
        <x:v>Invocation feature</x:v>
      </x:c>
      <x:c r="Q1" s="5" t="str">
        <x:v>Hidden-layer representation extraction</x:v>
      </x:c>
      <x:c r="R1" s="5" t="str">
        <x:v>Model version reported</x:v>
      </x:c>
      <x:c r="S1" s="5" t="str">
        <x:v>Model size reported</x:v>
      </x:c>
      <x:c r="T1" s="5" t="str">
        <x:v>Model access date reported</x:v>
      </x:c>
      <x:c r="U1" s="5" t="str">
        <x:v>API/local mode reported</x:v>
      </x:c>
      <x:c r="V1" s="5" t="str">
        <x:v>Deployment mode reported</x:v>
      </x:c>
      <x:c r="W1" s="5" t="str">
        <x:v>Temperature reported</x:v>
      </x:c>
      <x:c r="X1" s="5" t="str">
        <x:v>Random seed reported</x:v>
      </x:c>
      <x:c r="Y1" s="5" t="str">
        <x:v>Repeat count reported</x:v>
      </x:c>
      <x:c r="Z1" s="5" t="str">
        <x:v>Context window reported</x:v>
      </x:c>
      <x:c r="AA1" s="5" t="str">
        <x:v>Privacy control reported</x:v>
      </x:c>
      <x:c r="AB1" s="5" t="str">
        <x:v>Cost reported</x:v>
      </x:c>
      <x:c r="AC1" s="5" t="str">
        <x:v>Latency reported</x:v>
      </x:c>
    </x:row>
    <x:row r="2" ht="76" customHeight="1">
      <x:c r="A2" s="2" t="str">
        <x:v>S01</x:v>
      </x:c>
      <x:c r="B2" s="2" t="str">
        <x:v>merged_0002</x:v>
      </x:c>
      <x:c r="C2" s="6" t="str">
        <x:v>LiSSA: Toward Generic Traceability Link Recovery Through Retrieval- Augmented Generation</x:v>
      </x:c>
      <x:c r="D2" s="2" t="str">
        <x:v>2025</x:v>
      </x:c>
      <x:c r="E2" s="2" t="str">
        <x:v>Published conference paper</x:v>
      </x:c>
      <x:c r="F2" s="2" t="str">
        <x:v>Yes</x:v>
      </x:c>
      <x:c r="G2" s="2" t="str">
        <x:v>No</x:v>
      </x:c>
      <x:c r="H2" s="2" t="str">
        <x:v>Yes</x:v>
      </x:c>
      <x:c r="I2" s="2" t="str">
        <x:v>No</x:v>
      </x:c>
      <x:c r="J2" s="2" t="str">
        <x:v>No</x:v>
      </x:c>
      <x:c r="K2" s="2" t="str">
        <x:v>No</x:v>
      </x:c>
      <x:c r="L2" s="2" t="str">
        <x:v>No</x:v>
      </x:c>
      <x:c r="M2" s="6" t="str">
        <x:v>Yes</x:v>
      </x:c>
      <x:c r="N2" s="2" t="str">
        <x:v>Yes</x:v>
      </x:c>
      <x:c r="O2" s="6" t="str">
        <x:v>No</x:v>
      </x:c>
      <x:c r="P2" s="2" t="str">
        <x:v>No</x:v>
      </x:c>
      <x:c r="Q2" s="2" t="str">
        <x:v>No</x:v>
      </x:c>
      <x:c r="R2" s="2" t="str">
        <x:v>Yes</x:v>
      </x:c>
      <x:c r="S2" s="2" t="str">
        <x:v>No</x:v>
      </x:c>
      <x:c r="T2" s="2" t="str">
        <x:v>No</x:v>
      </x:c>
      <x:c r="U2" s="2" t="str">
        <x:v>Yes</x:v>
      </x:c>
      <x:c r="V2" s="2" t="str">
        <x:v>Yes</x:v>
      </x:c>
      <x:c r="W2" s="2" t="str">
        <x:v>Yes</x:v>
      </x:c>
      <x:c r="X2" s="2" t="str">
        <x:v>No</x:v>
      </x:c>
      <x:c r="Y2" s="2" t="str">
        <x:v>No</x:v>
      </x:c>
      <x:c r="Z2" s="2" t="str">
        <x:v>No</x:v>
      </x:c>
      <x:c r="AA2" s="2" t="str">
        <x:v>No</x:v>
      </x:c>
      <x:c r="AB2" s="2" t="str">
        <x:v>Yes</x:v>
      </x:c>
      <x:c r="AC2" s="2" t="str">
        <x:v>No</x:v>
      </x:c>
    </x:row>
    <x:row r="3" ht="76" customHeight="1">
      <x:c r="A3" s="2" t="str">
        <x:v>S02</x:v>
      </x:c>
      <x:c r="B3" s="2" t="str">
        <x:v>merged_0007</x:v>
      </x:c>
      <x:c r="C3" s="6" t="str">
        <x:v>Who's Who? LLM-assisted Software Traceability with Architecture Entity Recognition</x:v>
      </x:c>
      <x:c r="D3" s="2" t="str">
        <x:v>2026</x:v>
      </x:c>
      <x:c r="E3" s="2" t="str">
        <x:v>Published journal article</x:v>
      </x:c>
      <x:c r="F3" s="2" t="str">
        <x:v>Yes</x:v>
      </x:c>
      <x:c r="G3" s="2" t="str">
        <x:v>Yes</x:v>
      </x:c>
      <x:c r="H3" s="2" t="str">
        <x:v>Yes</x:v>
      </x:c>
      <x:c r="I3" s="2" t="str">
        <x:v>No</x:v>
      </x:c>
      <x:c r="J3" s="2" t="str">
        <x:v>No</x:v>
      </x:c>
      <x:c r="K3" s="2" t="str">
        <x:v>No</x:v>
      </x:c>
      <x:c r="L3" s="2" t="str">
        <x:v>Yes</x:v>
      </x:c>
      <x:c r="M3" s="6" t="str">
        <x:v>No</x:v>
      </x:c>
      <x:c r="N3" s="2" t="str">
        <x:v>No</x:v>
      </x:c>
      <x:c r="O3" s="6" t="str">
        <x:v>No</x:v>
      </x:c>
      <x:c r="P3" s="2" t="str">
        <x:v>No</x:v>
      </x:c>
      <x:c r="Q3" s="2" t="str">
        <x:v>No</x:v>
      </x:c>
      <x:c r="R3" s="2" t="str">
        <x:v>No</x:v>
      </x:c>
      <x:c r="S3" s="2" t="str">
        <x:v>Yes</x:v>
      </x:c>
      <x:c r="T3" s="2" t="str">
        <x:v>No</x:v>
      </x:c>
      <x:c r="U3" s="2" t="str">
        <x:v>Yes</x:v>
      </x:c>
      <x:c r="V3" s="2" t="str">
        <x:v>No</x:v>
      </x:c>
      <x:c r="W3" s="2" t="str">
        <x:v>Yes</x:v>
      </x:c>
      <x:c r="X3" s="2" t="str">
        <x:v>No</x:v>
      </x:c>
      <x:c r="Y3" s="2" t="str">
        <x:v>Yes</x:v>
      </x:c>
      <x:c r="Z3" s="2" t="str">
        <x:v>No</x:v>
      </x:c>
      <x:c r="AA3" s="2" t="str">
        <x:v>No</x:v>
      </x:c>
      <x:c r="AB3" s="2" t="str">
        <x:v>No</x:v>
      </x:c>
      <x:c r="AC3" s="2" t="str">
        <x:v>No</x:v>
      </x:c>
    </x:row>
    <x:row r="4" ht="76" customHeight="1">
      <x:c r="A4" s="2" t="str">
        <x:v>S03</x:v>
      </x:c>
      <x:c r="B4" s="2" t="str">
        <x:v>merged_0014</x:v>
      </x:c>
      <x:c r="C4" s="6" t="str">
        <x:v>Tracing Domain Services in Application Code using Generative AI</x:v>
      </x:c>
      <x:c r="D4" s="2" t="str">
        <x:v>2026</x:v>
      </x:c>
      <x:c r="E4" s="2" t="str">
        <x:v>Published conference paper</x:v>
      </x:c>
      <x:c r="F4" s="2" t="str">
        <x:v>Yes</x:v>
      </x:c>
      <x:c r="G4" s="2" t="str">
        <x:v>No</x:v>
      </x:c>
      <x:c r="H4" s="2" t="str">
        <x:v>No</x:v>
      </x:c>
      <x:c r="I4" s="2" t="str">
        <x:v>Yes</x:v>
      </x:c>
      <x:c r="J4" s="2" t="str">
        <x:v>Yes</x:v>
      </x:c>
      <x:c r="K4" s="2" t="str">
        <x:v>No</x:v>
      </x:c>
      <x:c r="L4" s="2" t="str">
        <x:v>No</x:v>
      </x:c>
      <x:c r="M4" s="6" t="str">
        <x:v>No</x:v>
      </x:c>
      <x:c r="N4" s="2" t="str">
        <x:v>No</x:v>
      </x:c>
      <x:c r="O4" s="6" t="str">
        <x:v>No</x:v>
      </x:c>
      <x:c r="P4" s="2" t="str">
        <x:v>No</x:v>
      </x:c>
      <x:c r="Q4" s="2" t="str">
        <x:v>No</x:v>
      </x:c>
      <x:c r="R4" s="2" t="str">
        <x:v>Yes</x:v>
      </x:c>
      <x:c r="S4" s="2" t="str">
        <x:v>No</x:v>
      </x:c>
      <x:c r="T4" s="2" t="str">
        <x:v>No</x:v>
      </x:c>
      <x:c r="U4" s="2" t="str">
        <x:v>Yes</x:v>
      </x:c>
      <x:c r="V4" s="2" t="str">
        <x:v>Yes</x:v>
      </x:c>
      <x:c r="W4" s="2" t="str">
        <x:v>Yes</x:v>
      </x:c>
      <x:c r="X4" s="2" t="str">
        <x:v>No</x:v>
      </x:c>
      <x:c r="Y4" s="2" t="str">
        <x:v>No</x:v>
      </x:c>
      <x:c r="Z4" s="2" t="str">
        <x:v>No</x:v>
      </x:c>
      <x:c r="AA4" s="2" t="str">
        <x:v>No</x:v>
      </x:c>
      <x:c r="AB4" s="2" t="str">
        <x:v>No</x:v>
      </x:c>
      <x:c r="AC4" s="2" t="str">
        <x:v>No</x:v>
      </x:c>
    </x:row>
    <x:row r="5" ht="76" customHeight="1">
      <x:c r="A5" s="2" t="str">
        <x:v>S04</x:v>
      </x:c>
      <x:c r="B5" s="2" t="str">
        <x:v>merged_0075</x:v>
      </x:c>
      <x:c r="C5" s="6" t="str">
        <x:v>An LLM-based Approach to Recover Traceability Links between Security Requirements and Goal Models</x:v>
      </x:c>
      <x:c r="D5" s="2" t="str">
        <x:v>2024</x:v>
      </x:c>
      <x:c r="E5" s="2" t="str">
        <x:v>Published conference paper</x:v>
      </x:c>
      <x:c r="F5" s="2" t="str">
        <x:v>Yes</x:v>
      </x:c>
      <x:c r="G5" s="2" t="str">
        <x:v>No</x:v>
      </x:c>
      <x:c r="H5" s="2" t="str">
        <x:v>No</x:v>
      </x:c>
      <x:c r="I5" s="2" t="str">
        <x:v>Yes</x:v>
      </x:c>
      <x:c r="J5" s="2" t="str">
        <x:v>Yes</x:v>
      </x:c>
      <x:c r="K5" s="2" t="str">
        <x:v>No</x:v>
      </x:c>
      <x:c r="L5" s="2" t="str">
        <x:v>No</x:v>
      </x:c>
      <x:c r="M5" s="6" t="str">
        <x:v>No</x:v>
      </x:c>
      <x:c r="N5" s="2" t="str">
        <x:v>No</x:v>
      </x:c>
      <x:c r="O5" s="6" t="str">
        <x:v>No</x:v>
      </x:c>
      <x:c r="P5" s="2" t="str">
        <x:v>No</x:v>
      </x:c>
      <x:c r="Q5" s="2" t="str">
        <x:v>No</x:v>
      </x:c>
      <x:c r="R5" s="2" t="str">
        <x:v>No</x:v>
      </x:c>
      <x:c r="S5" s="2" t="str">
        <x:v>No</x:v>
      </x:c>
      <x:c r="T5" s="2" t="str">
        <x:v>No</x:v>
      </x:c>
      <x:c r="U5" s="2" t="str">
        <x:v>Yes</x:v>
      </x:c>
      <x:c r="V5" s="2" t="str">
        <x:v>No</x:v>
      </x:c>
      <x:c r="W5" s="2" t="str">
        <x:v>Yes</x:v>
      </x:c>
      <x:c r="X5" s="2" t="str">
        <x:v>No</x:v>
      </x:c>
      <x:c r="Y5" s="2" t="str">
        <x:v>No</x:v>
      </x:c>
      <x:c r="Z5" s="2" t="str">
        <x:v>No</x:v>
      </x:c>
      <x:c r="AA5" s="2" t="str">
        <x:v>No</x:v>
      </x:c>
      <x:c r="AB5" s="2" t="str">
        <x:v>No</x:v>
      </x:c>
      <x:c r="AC5" s="2" t="str">
        <x:v>No</x:v>
      </x:c>
    </x:row>
    <x:row r="6" ht="76" customHeight="1">
      <x:c r="A6" s="2" t="str">
        <x:v>S05</x:v>
      </x:c>
      <x:c r="B6" s="2" t="str">
        <x:v>merged_0077</x:v>
      </x:c>
      <x:c r="C6" s="6" t="str">
        <x:v>Evaluating the Use of LLMs for Documentation to Code Traceability</x:v>
      </x:c>
      <x:c r="D6" s="2" t="str">
        <x:v>2026</x:v>
      </x:c>
      <x:c r="E6" s="2" t="str">
        <x:v>Published journal article</x:v>
      </x:c>
      <x:c r="F6" s="2" t="str">
        <x:v>No</x:v>
      </x:c>
      <x:c r="G6" s="2" t="str">
        <x:v>No</x:v>
      </x:c>
      <x:c r="H6" s="2" t="str">
        <x:v>No</x:v>
      </x:c>
      <x:c r="I6" s="2" t="str">
        <x:v>No</x:v>
      </x:c>
      <x:c r="J6" s="2" t="str">
        <x:v>No</x:v>
      </x:c>
      <x:c r="K6" s="2" t="str">
        <x:v>No</x:v>
      </x:c>
      <x:c r="L6" s="2" t="str">
        <x:v>No</x:v>
      </x:c>
      <x:c r="M6" s="6" t="str">
        <x:v>Yes</x:v>
      </x:c>
      <x:c r="N6" s="2" t="str">
        <x:v>No</x:v>
      </x:c>
      <x:c r="O6" s="6" t="str">
        <x:v>No</x:v>
      </x:c>
      <x:c r="P6" s="2" t="str">
        <x:v>Yes</x:v>
      </x:c>
      <x:c r="Q6" s="2" t="str">
        <x:v>No</x:v>
      </x:c>
      <x:c r="R6" s="2" t="str">
        <x:v>Yes</x:v>
      </x:c>
      <x:c r="S6" s="2" t="str">
        <x:v>No</x:v>
      </x:c>
      <x:c r="T6" s="2" t="str">
        <x:v>No</x:v>
      </x:c>
      <x:c r="U6" s="2" t="str">
        <x:v>Yes</x:v>
      </x:c>
      <x:c r="V6" s="2" t="str">
        <x:v>Yes</x:v>
      </x:c>
      <x:c r="W6" s="2" t="str">
        <x:v>No</x:v>
      </x:c>
      <x:c r="X6" s="2" t="str">
        <x:v>No</x:v>
      </x:c>
      <x:c r="Y6" s="2" t="str">
        <x:v>Yes</x:v>
      </x:c>
      <x:c r="Z6" s="2" t="str">
        <x:v>Yes</x:v>
      </x:c>
      <x:c r="AA6" s="2" t="str">
        <x:v>No</x:v>
      </x:c>
      <x:c r="AB6" s="2" t="str">
        <x:v>No</x:v>
      </x:c>
      <x:c r="AC6" s="2" t="str">
        <x:v>No</x:v>
      </x:c>
    </x:row>
    <x:row r="7" ht="76" customHeight="1">
      <x:c r="A7" s="2" t="str">
        <x:v>S06</x:v>
      </x:c>
      <x:c r="B7" s="2" t="str">
        <x:v>merged_0079</x:v>
      </x:c>
      <x:c r="C7" s="6" t="str">
        <x:v>LinkAnchor: An Autonomous LLM-Based Agent for Issue-to-Commit Link Recovery</x:v>
      </x:c>
      <x:c r="D7" s="2" t="str">
        <x:v>2026</x:v>
      </x:c>
      <x:c r="E7" s="2" t="str">
        <x:v>Published journal article</x:v>
      </x:c>
      <x:c r="F7" s="2" t="str">
        <x:v>Yes</x:v>
      </x:c>
      <x:c r="G7" s="2" t="str">
        <x:v>No</x:v>
      </x:c>
      <x:c r="H7" s="2" t="str">
        <x:v>No</x:v>
      </x:c>
      <x:c r="I7" s="2" t="str">
        <x:v>No</x:v>
      </x:c>
      <x:c r="J7" s="2" t="str">
        <x:v>No</x:v>
      </x:c>
      <x:c r="K7" s="2" t="str">
        <x:v>No</x:v>
      </x:c>
      <x:c r="L7" s="2" t="str">
        <x:v>No</x:v>
      </x:c>
      <x:c r="M7" s="6" t="str">
        <x:v>Yes</x:v>
      </x:c>
      <x:c r="N7" s="2" t="str">
        <x:v>No</x:v>
      </x:c>
      <x:c r="O7" s="6" t="str">
        <x:v>No</x:v>
      </x:c>
      <x:c r="P7" s="2" t="str">
        <x:v>Yes</x:v>
      </x:c>
      <x:c r="Q7" s="2" t="str">
        <x:v>No</x:v>
      </x:c>
      <x:c r="R7" s="2" t="str">
        <x:v>Yes</x:v>
      </x:c>
      <x:c r="S7" s="2" t="str">
        <x:v>No</x:v>
      </x:c>
      <x:c r="T7" s="2" t="str">
        <x:v>No</x:v>
      </x:c>
      <x:c r="U7" s="2" t="str">
        <x:v>Yes</x:v>
      </x:c>
      <x:c r="V7" s="2" t="str">
        <x:v>No</x:v>
      </x:c>
      <x:c r="W7" s="2" t="str">
        <x:v>No</x:v>
      </x:c>
      <x:c r="X7" s="2" t="str">
        <x:v>No</x:v>
      </x:c>
      <x:c r="Y7" s="2" t="str">
        <x:v>No</x:v>
      </x:c>
      <x:c r="Z7" s="2" t="str">
        <x:v>Yes</x:v>
      </x:c>
      <x:c r="AA7" s="2" t="str">
        <x:v>No</x:v>
      </x:c>
      <x:c r="AB7" s="2" t="str">
        <x:v>Yes</x:v>
      </x:c>
      <x:c r="AC7" s="2" t="str">
        <x:v>Yes</x:v>
      </x:c>
    </x:row>
    <x:row r="8" ht="76" customHeight="1">
      <x:c r="A8" s="2" t="str">
        <x:v>S07</x:v>
      </x:c>
      <x:c r="B8" s="2" t="str">
        <x:v>merged_0110</x:v>
      </x:c>
      <x:c r="C8" s="6" t="str">
        <x:v>REST-at: An LLM-Based Tool for Automating Traceability between Requirements and Test Cases</x:v>
      </x:c>
      <x:c r="D8" s="2" t="str">
        <x:v>2026</x:v>
      </x:c>
      <x:c r="E8" s="2" t="str">
        <x:v>Published conference paper</x:v>
      </x:c>
      <x:c r="F8" s="2" t="str">
        <x:v>Yes</x:v>
      </x:c>
      <x:c r="G8" s="2" t="str">
        <x:v>Yes</x:v>
      </x:c>
      <x:c r="H8" s="2" t="str">
        <x:v>No</x:v>
      </x:c>
      <x:c r="I8" s="2" t="str">
        <x:v>No</x:v>
      </x:c>
      <x:c r="J8" s="2" t="str">
        <x:v>No</x:v>
      </x:c>
      <x:c r="K8" s="2" t="str">
        <x:v>Yes</x:v>
      </x:c>
      <x:c r="L8" s="2" t="str">
        <x:v>No</x:v>
      </x:c>
      <x:c r="M8" s="6" t="str">
        <x:v>No</x:v>
      </x:c>
      <x:c r="N8" s="2" t="str">
        <x:v>No</x:v>
      </x:c>
      <x:c r="O8" s="6" t="str">
        <x:v>No</x:v>
      </x:c>
      <x:c r="P8" s="2" t="str">
        <x:v>No</x:v>
      </x:c>
      <x:c r="Q8" s="2" t="str">
        <x:v>No</x:v>
      </x:c>
      <x:c r="R8" s="2" t="str">
        <x:v>No</x:v>
      </x:c>
      <x:c r="S8" s="2" t="str">
        <x:v>Yes</x:v>
      </x:c>
      <x:c r="T8" s="2" t="str">
        <x:v>Yes</x:v>
      </x:c>
      <x:c r="U8" s="2" t="str">
        <x:v>Yes</x:v>
      </x:c>
      <x:c r="V8" s="2" t="str">
        <x:v>Yes</x:v>
      </x:c>
      <x:c r="W8" s="2" t="str">
        <x:v>Yes</x:v>
      </x:c>
      <x:c r="X8" s="2" t="str">
        <x:v>No</x:v>
      </x:c>
      <x:c r="Y8" s="2" t="str">
        <x:v>Yes</x:v>
      </x:c>
      <x:c r="Z8" s="2" t="str">
        <x:v>No</x:v>
      </x:c>
      <x:c r="AA8" s="2" t="str">
        <x:v>No</x:v>
      </x:c>
      <x:c r="AB8" s="2" t="str">
        <x:v>Yes</x:v>
      </x:c>
      <x:c r="AC8" s="2" t="str">
        <x:v>No</x:v>
      </x:c>
    </x:row>
    <x:row r="9" ht="76" customHeight="1">
      <x:c r="A9" s="2" t="str">
        <x:v>S08</x:v>
      </x:c>
      <x:c r="B9" s="2" t="str">
        <x:v>merged_0256</x:v>
      </x:c>
      <x:c r="C9" s="6" t="str">
        <x:v>Supporting High-Level to Low-Level Requirements Coverage Reviewing with Large Language Models</x:v>
      </x:c>
      <x:c r="D9" s="2" t="str">
        <x:v>2024</x:v>
      </x:c>
      <x:c r="E9" s="2" t="str">
        <x:v>Published conference paper</x:v>
      </x:c>
      <x:c r="F9" s="2" t="str">
        <x:v>Yes</x:v>
      </x:c>
      <x:c r="G9" s="2" t="str">
        <x:v>No</x:v>
      </x:c>
      <x:c r="H9" s="2" t="str">
        <x:v>Yes</x:v>
      </x:c>
      <x:c r="I9" s="2" t="str">
        <x:v>Yes</x:v>
      </x:c>
      <x:c r="J9" s="2" t="str">
        <x:v>Yes</x:v>
      </x:c>
      <x:c r="K9" s="2" t="str">
        <x:v>No</x:v>
      </x:c>
      <x:c r="L9" s="2" t="str">
        <x:v>No</x:v>
      </x:c>
      <x:c r="M9" s="6" t="str">
        <x:v>No</x:v>
      </x:c>
      <x:c r="N9" s="2" t="str">
        <x:v>No</x:v>
      </x:c>
      <x:c r="O9" s="6" t="str">
        <x:v>No</x:v>
      </x:c>
      <x:c r="P9" s="2" t="str">
        <x:v>No</x:v>
      </x:c>
      <x:c r="Q9" s="2" t="str">
        <x:v>No</x:v>
      </x:c>
      <x:c r="R9" s="2" t="str">
        <x:v>Yes</x:v>
      </x:c>
      <x:c r="S9" s="2" t="str">
        <x:v>No</x:v>
      </x:c>
      <x:c r="T9" s="2" t="str">
        <x:v>No</x:v>
      </x:c>
      <x:c r="U9" s="2" t="str">
        <x:v>Yes</x:v>
      </x:c>
      <x:c r="V9" s="2" t="str">
        <x:v>Yes</x:v>
      </x:c>
      <x:c r="W9" s="2" t="str">
        <x:v>Yes</x:v>
      </x:c>
      <x:c r="X9" s="2" t="str">
        <x:v>No</x:v>
      </x:c>
      <x:c r="Y9" s="2" t="str">
        <x:v>No</x:v>
      </x:c>
      <x:c r="Z9" s="2" t="str">
        <x:v>Yes</x:v>
      </x:c>
      <x:c r="AA9" s="2" t="str">
        <x:v>No</x:v>
      </x:c>
      <x:c r="AB9" s="2" t="str">
        <x:v>No</x:v>
      </x:c>
      <x:c r="AC9" s="2" t="str">
        <x:v>No</x:v>
      </x:c>
    </x:row>
    <x:row r="10" ht="76" customHeight="1">
      <x:c r="A10" s="2" t="str">
        <x:v>S09</x:v>
      </x:c>
      <x:c r="B10" s="2" t="str">
        <x:v>merged_1114</x:v>
      </x:c>
      <x:c r="C10" s="6" t="str">
        <x:v>Trust-Aware Multi-Agent Traceability: Confidence-Calibrated Knowledge Graphs for Consistent Software Artifact Management</x:v>
      </x:c>
      <x:c r="D10" s="2" t="str">
        <x:v>2026</x:v>
      </x:c>
      <x:c r="E10" s="2" t="str">
        <x:v>Preprint</x:v>
      </x:c>
      <x:c r="F10" s="2" t="str">
        <x:v>Yes</x:v>
      </x:c>
      <x:c r="G10" s="2" t="str">
        <x:v>Yes</x:v>
      </x:c>
      <x:c r="H10" s="2" t="str">
        <x:v>Yes</x:v>
      </x:c>
      <x:c r="I10" s="2" t="str">
        <x:v>No</x:v>
      </x:c>
      <x:c r="J10" s="2" t="str">
        <x:v>No</x:v>
      </x:c>
      <x:c r="K10" s="2" t="str">
        <x:v>No</x:v>
      </x:c>
      <x:c r="L10" s="2" t="str">
        <x:v>No</x:v>
      </x:c>
      <x:c r="M10" s="6" t="str">
        <x:v>Yes</x:v>
      </x:c>
      <x:c r="N10" s="2" t="str">
        <x:v>No</x:v>
      </x:c>
      <x:c r="O10" s="6" t="str">
        <x:v>Yes</x:v>
      </x:c>
      <x:c r="P10" s="2" t="str">
        <x:v>No</x:v>
      </x:c>
      <x:c r="Q10" s="2" t="str">
        <x:v>No</x:v>
      </x:c>
      <x:c r="R10" s="2" t="str">
        <x:v>No</x:v>
      </x:c>
      <x:c r="S10" s="2" t="str">
        <x:v>No</x:v>
      </x:c>
      <x:c r="T10" s="2" t="str">
        <x:v>No</x:v>
      </x:c>
      <x:c r="U10" s="2" t="str">
        <x:v>No</x:v>
      </x:c>
      <x:c r="V10" s="2" t="str">
        <x:v>No</x:v>
      </x:c>
      <x:c r="W10" s="2" t="str">
        <x:v>No</x:v>
      </x:c>
      <x:c r="X10" s="2" t="str">
        <x:v>No</x:v>
      </x:c>
      <x:c r="Y10" s="2" t="str">
        <x:v>No</x:v>
      </x:c>
      <x:c r="Z10" s="2" t="str">
        <x:v>No</x:v>
      </x:c>
      <x:c r="AA10" s="2" t="str">
        <x:v>No</x:v>
      </x:c>
      <x:c r="AB10" s="2" t="str">
        <x:v>No</x:v>
      </x:c>
      <x:c r="AC10" s="2" t="str">
        <x:v>No</x:v>
      </x:c>
    </x:row>
    <x:row r="11" ht="76" customHeight="1">
      <x:c r="A11" s="2" t="str">
        <x:v>S10</x:v>
      </x:c>
      <x:c r="B11" s="2" t="str">
        <x:v>merged_1119</x:v>
      </x:c>
      <x:c r="C11" s="6" t="str">
        <x:v>Think Harder and Don't Overlook Your Options: Revisiting Issue-Commit Linking with LLM-Assisted Retrieval</x:v>
      </x:c>
      <x:c r="D11" s="2" t="str">
        <x:v>2026</x:v>
      </x:c>
      <x:c r="E11" s="2" t="str">
        <x:v>Preprint</x:v>
      </x:c>
      <x:c r="F11" s="2" t="str">
        <x:v>Yes</x:v>
      </x:c>
      <x:c r="G11" s="2" t="str">
        <x:v>Yes</x:v>
      </x:c>
      <x:c r="H11" s="2" t="str">
        <x:v>No</x:v>
      </x:c>
      <x:c r="I11" s="2" t="str">
        <x:v>No</x:v>
      </x:c>
      <x:c r="J11" s="2" t="str">
        <x:v>No</x:v>
      </x:c>
      <x:c r="K11" s="2" t="str">
        <x:v>No</x:v>
      </x:c>
      <x:c r="L11" s="2" t="str">
        <x:v>No</x:v>
      </x:c>
      <x:c r="M11" s="6" t="str">
        <x:v>No</x:v>
      </x:c>
      <x:c r="N11" s="2" t="str">
        <x:v>No</x:v>
      </x:c>
      <x:c r="O11" s="6" t="str">
        <x:v>No</x:v>
      </x:c>
      <x:c r="P11" s="2" t="str">
        <x:v>No</x:v>
      </x:c>
      <x:c r="Q11" s="2" t="str">
        <x:v>No</x:v>
      </x:c>
      <x:c r="R11" s="2" t="str">
        <x:v>Yes</x:v>
      </x:c>
      <x:c r="S11" s="2" t="str">
        <x:v>Yes</x:v>
      </x:c>
      <x:c r="T11" s="2" t="str">
        <x:v>Yes</x:v>
      </x:c>
      <x:c r="U11" s="2" t="str">
        <x:v>Yes</x:v>
      </x:c>
      <x:c r="V11" s="2" t="str">
        <x:v>Yes</x:v>
      </x:c>
      <x:c r="W11" s="2" t="str">
        <x:v>No</x:v>
      </x:c>
      <x:c r="X11" s="2" t="str">
        <x:v>No</x:v>
      </x:c>
      <x:c r="Y11" s="2" t="str">
        <x:v>No</x:v>
      </x:c>
      <x:c r="Z11" s="2" t="str">
        <x:v>No</x:v>
      </x:c>
      <x:c r="AA11" s="2" t="str">
        <x:v>No</x:v>
      </x:c>
      <x:c r="AB11" s="2" t="str">
        <x:v>Yes</x:v>
      </x:c>
      <x:c r="AC11" s="2" t="str">
        <x:v>No</x:v>
      </x:c>
    </x:row>
    <x:row r="12" ht="76" customHeight="1">
      <x:c r="A12" s="2" t="str">
        <x:v>S11</x:v>
      </x:c>
      <x:c r="B12" s="2" t="str">
        <x:v>merged_1121</x:v>
      </x:c>
      <x:c r="C12" s="6" t="str">
        <x:v>R2Code: A Self-Reflective LLM Framework for Requirements-to-Code Traceability</x:v>
      </x:c>
      <x:c r="D12" s="2" t="str">
        <x:v>2026</x:v>
      </x:c>
      <x:c r="E12" s="2" t="str">
        <x:v>Preprint</x:v>
      </x:c>
      <x:c r="F12" s="2" t="str">
        <x:v>Yes</x:v>
      </x:c>
      <x:c r="G12" s="2" t="str">
        <x:v>Yes</x:v>
      </x:c>
      <x:c r="H12" s="2" t="str">
        <x:v>No</x:v>
      </x:c>
      <x:c r="I12" s="2" t="str">
        <x:v>No</x:v>
      </x:c>
      <x:c r="J12" s="2" t="str">
        <x:v>No</x:v>
      </x:c>
      <x:c r="K12" s="2" t="str">
        <x:v>No</x:v>
      </x:c>
      <x:c r="L12" s="2" t="str">
        <x:v>Yes</x:v>
      </x:c>
      <x:c r="M12" s="6" t="str">
        <x:v>No</x:v>
      </x:c>
      <x:c r="N12" s="2" t="str">
        <x:v>No</x:v>
      </x:c>
      <x:c r="O12" s="6" t="str">
        <x:v>No</x:v>
      </x:c>
      <x:c r="P12" s="2" t="str">
        <x:v>No</x:v>
      </x:c>
      <x:c r="Q12" s="2" t="str">
        <x:v>No</x:v>
      </x:c>
      <x:c r="R12" s="2" t="str">
        <x:v>Yes</x:v>
      </x:c>
      <x:c r="S12" s="2" t="str">
        <x:v>No</x:v>
      </x:c>
      <x:c r="T12" s="2" t="str">
        <x:v>No</x:v>
      </x:c>
      <x:c r="U12" s="2" t="str">
        <x:v>Yes</x:v>
      </x:c>
      <x:c r="V12" s="2" t="str">
        <x:v>Yes</x:v>
      </x:c>
      <x:c r="W12" s="2" t="str">
        <x:v>Yes</x:v>
      </x:c>
      <x:c r="X12" s="2" t="str">
        <x:v>Yes</x:v>
      </x:c>
      <x:c r="Y12" s="2" t="str">
        <x:v>Yes</x:v>
      </x:c>
      <x:c r="Z12" s="2" t="str">
        <x:v>No</x:v>
      </x:c>
      <x:c r="AA12" s="2" t="str">
        <x:v>No</x:v>
      </x:c>
      <x:c r="AB12" s="2" t="str">
        <x:v>Yes</x:v>
      </x:c>
      <x:c r="AC12" s="2" t="str">
        <x:v>Yes</x:v>
      </x:c>
    </x:row>
    <x:row r="13" ht="76" customHeight="1">
      <x:c r="A13" s="2" t="str">
        <x:v>S12</x:v>
      </x:c>
      <x:c r="B13" s="2" t="str">
        <x:v>merged_1133</x:v>
      </x:c>
      <x:c r="C13" s="6" t="str">
        <x:v>TraceLLM: Leveraging Large Language Models with Prompt Engineering for Enhanced Requirements Traceability</x:v>
      </x:c>
      <x:c r="D13" s="2" t="str">
        <x:v>2026</x:v>
      </x:c>
      <x:c r="E13" s="2" t="str">
        <x:v>Published journal article</x:v>
      </x:c>
      <x:c r="F13" s="2" t="str">
        <x:v>Yes</x:v>
      </x:c>
      <x:c r="G13" s="2" t="str">
        <x:v>No</x:v>
      </x:c>
      <x:c r="H13" s="2" t="str">
        <x:v>No</x:v>
      </x:c>
      <x:c r="I13" s="2" t="str">
        <x:v>Yes</x:v>
      </x:c>
      <x:c r="J13" s="2" t="str">
        <x:v>No</x:v>
      </x:c>
      <x:c r="K13" s="2" t="str">
        <x:v>No</x:v>
      </x:c>
      <x:c r="L13" s="2" t="str">
        <x:v>No</x:v>
      </x:c>
      <x:c r="M13" s="6" t="str">
        <x:v>Yes</x:v>
      </x:c>
      <x:c r="N13" s="2" t="str">
        <x:v>No</x:v>
      </x:c>
      <x:c r="O13" s="6" t="str">
        <x:v>No</x:v>
      </x:c>
      <x:c r="P13" s="2" t="str">
        <x:v>No</x:v>
      </x:c>
      <x:c r="Q13" s="2" t="str">
        <x:v>No</x:v>
      </x:c>
      <x:c r="R13" s="2" t="str">
        <x:v>Yes</x:v>
      </x:c>
      <x:c r="S13" s="2" t="str">
        <x:v>Yes</x:v>
      </x:c>
      <x:c r="T13" s="2" t="str">
        <x:v>No</x:v>
      </x:c>
      <x:c r="U13" s="2" t="str">
        <x:v>Yes</x:v>
      </x:c>
      <x:c r="V13" s="2" t="str">
        <x:v>Yes</x:v>
      </x:c>
      <x:c r="W13" s="2" t="str">
        <x:v>Yes</x:v>
      </x:c>
      <x:c r="X13" s="2" t="str">
        <x:v>No</x:v>
      </x:c>
      <x:c r="Y13" s="2" t="str">
        <x:v>No</x:v>
      </x:c>
      <x:c r="Z13" s="2" t="str">
        <x:v>No</x:v>
      </x:c>
      <x:c r="AA13" s="2" t="str">
        <x:v>No</x:v>
      </x:c>
      <x:c r="AB13" s="2" t="str">
        <x:v>Yes</x:v>
      </x:c>
      <x:c r="AC13" s="2" t="str">
        <x:v>No</x:v>
      </x:c>
    </x:row>
    <x:row r="14" ht="76" customHeight="1">
      <x:c r="A14" s="2" t="str">
        <x:v>S13</x:v>
      </x:c>
      <x:c r="B14" s="2" t="str">
        <x:v>merged_1140</x:v>
      </x:c>
      <x:c r="C14" s="6" t="str">
        <x:v>Synergistic Enhancement of Requirement-to-Code Traceability: A Framework Combining Large Language Model based Data Augmentation and an Advanced Encoder</x:v>
      </x:c>
      <x:c r="D14" s="2" t="str">
        <x:v>2025</x:v>
      </x:c>
      <x:c r="E14" s="2" t="str">
        <x:v>Published journal article</x:v>
      </x:c>
      <x:c r="F14" s="2" t="str">
        <x:v>Yes</x:v>
      </x:c>
      <x:c r="G14" s="2" t="str">
        <x:v>Yes</x:v>
      </x:c>
      <x:c r="H14" s="2" t="str">
        <x:v>No</x:v>
      </x:c>
      <x:c r="I14" s="2" t="str">
        <x:v>Yes</x:v>
      </x:c>
      <x:c r="J14" s="2" t="str">
        <x:v>Yes</x:v>
      </x:c>
      <x:c r="K14" s="2" t="str">
        <x:v>No</x:v>
      </x:c>
      <x:c r="L14" s="2" t="str">
        <x:v>No</x:v>
      </x:c>
      <x:c r="M14" s="6" t="str">
        <x:v>No</x:v>
      </x:c>
      <x:c r="N14" s="2" t="str">
        <x:v>No</x:v>
      </x:c>
      <x:c r="O14" s="6" t="str">
        <x:v>No</x:v>
      </x:c>
      <x:c r="P14" s="2" t="str">
        <x:v>No</x:v>
      </x:c>
      <x:c r="Q14" s="2" t="str">
        <x:v>No</x:v>
      </x:c>
      <x:c r="R14" s="2" t="str">
        <x:v>Yes</x:v>
      </x:c>
      <x:c r="S14" s="2" t="str">
        <x:v>No</x:v>
      </x:c>
      <x:c r="T14" s="2" t="str">
        <x:v>No</x:v>
      </x:c>
      <x:c r="U14" s="2" t="str">
        <x:v>Yes</x:v>
      </x:c>
      <x:c r="V14" s="2" t="str">
        <x:v>No</x:v>
      </x:c>
      <x:c r="W14" s="2" t="str">
        <x:v>No</x:v>
      </x:c>
      <x:c r="X14" s="2" t="str">
        <x:v>No</x:v>
      </x:c>
      <x:c r="Y14" s="2" t="str">
        <x:v>No</x:v>
      </x:c>
      <x:c r="Z14" s="2" t="str">
        <x:v>No</x:v>
      </x:c>
      <x:c r="AA14" s="2" t="str">
        <x:v>No</x:v>
      </x:c>
      <x:c r="AB14" s="2" t="str">
        <x:v>No</x:v>
      </x:c>
      <x:c r="AC14" s="2" t="str">
        <x:v>No</x:v>
      </x:c>
    </x:row>
    <x:row r="15" ht="76" customHeight="1">
      <x:c r="A15" s="2" t="str">
        <x:v>S14</x:v>
      </x:c>
      <x:c r="B15" s="2" t="str">
        <x:v>merged_1142</x:v>
      </x:c>
      <x:c r="C15" s="6" t="str">
        <x:v>Natural Language-Programming Language Software Traceability Link Recovery Needs More than Textual Similarity</x:v>
      </x:c>
      <x:c r="D15" s="2" t="str">
        <x:v>2025</x:v>
      </x:c>
      <x:c r="E15" s="2" t="str">
        <x:v>Preprint</x:v>
      </x:c>
      <x:c r="F15" s="2" t="str">
        <x:v>Yes</x:v>
      </x:c>
      <x:c r="G15" s="2" t="str">
        <x:v>Yes</x:v>
      </x:c>
      <x:c r="H15" s="2" t="str">
        <x:v>No</x:v>
      </x:c>
      <x:c r="I15" s="2" t="str">
        <x:v>No</x:v>
      </x:c>
      <x:c r="J15" s="2" t="str">
        <x:v>No</x:v>
      </x:c>
      <x:c r="K15" s="2" t="str">
        <x:v>No</x:v>
      </x:c>
      <x:c r="L15" s="2" t="str">
        <x:v>No</x:v>
      </x:c>
      <x:c r="M15" s="6" t="str">
        <x:v>No</x:v>
      </x:c>
      <x:c r="N15" s="2" t="str">
        <x:v>No</x:v>
      </x:c>
      <x:c r="O15" s="6" t="str">
        <x:v>No</x:v>
      </x:c>
      <x:c r="P15" s="2" t="str">
        <x:v>No</x:v>
      </x:c>
      <x:c r="Q15" s="2" t="str">
        <x:v>No</x:v>
      </x:c>
      <x:c r="R15" s="2" t="str">
        <x:v>Yes</x:v>
      </x:c>
      <x:c r="S15" s="2" t="str">
        <x:v>No</x:v>
      </x:c>
      <x:c r="T15" s="2" t="str">
        <x:v>No</x:v>
      </x:c>
      <x:c r="U15" s="2" t="str">
        <x:v>Yes</x:v>
      </x:c>
      <x:c r="V15" s="2" t="str">
        <x:v>Yes</x:v>
      </x:c>
      <x:c r="W15" s="2" t="str">
        <x:v>Yes</x:v>
      </x:c>
      <x:c r="X15" s="2" t="str">
        <x:v>No</x:v>
      </x:c>
      <x:c r="Y15" s="2" t="str">
        <x:v>No</x:v>
      </x:c>
      <x:c r="Z15" s="2" t="str">
        <x:v>No</x:v>
      </x:c>
      <x:c r="AA15" s="2" t="str">
        <x:v>No</x:v>
      </x:c>
      <x:c r="AB15" s="2" t="str">
        <x:v>No</x:v>
      </x:c>
      <x:c r="AC15" s="2" t="str">
        <x:v>No</x:v>
      </x:c>
    </x:row>
    <x:row r="16" ht="76" customHeight="1">
      <x:c r="A16" s="2" t="str">
        <x:v>S15</x:v>
      </x:c>
      <x:c r="B16" s="2" t="str">
        <x:v>merged_1143</x:v>
      </x:c>
      <x:c r="C16" s="6" t="str">
        <x:v>Generative Goal Modeling</x:v>
      </x:c>
      <x:c r="D16" s="2" t="str">
        <x:v>2025</x:v>
      </x:c>
      <x:c r="E16" s="2" t="str">
        <x:v>Published conference paper</x:v>
      </x:c>
      <x:c r="F16" s="2" t="str">
        <x:v>Yes</x:v>
      </x:c>
      <x:c r="G16" s="2" t="str">
        <x:v>Yes</x:v>
      </x:c>
      <x:c r="H16" s="2" t="str">
        <x:v>No</x:v>
      </x:c>
      <x:c r="I16" s="2" t="str">
        <x:v>No</x:v>
      </x:c>
      <x:c r="J16" s="2" t="str">
        <x:v>No</x:v>
      </x:c>
      <x:c r="K16" s="2" t="str">
        <x:v>No</x:v>
      </x:c>
      <x:c r="L16" s="2" t="str">
        <x:v>No</x:v>
      </x:c>
      <x:c r="M16" s="6" t="str">
        <x:v>Yes</x:v>
      </x:c>
      <x:c r="N16" s="2" t="str">
        <x:v>No</x:v>
      </x:c>
      <x:c r="O16" s="6" t="str">
        <x:v>Yes</x:v>
      </x:c>
      <x:c r="P16" s="2" t="str">
        <x:v>Yes</x:v>
      </x:c>
      <x:c r="Q16" s="2" t="str">
        <x:v>No</x:v>
      </x:c>
      <x:c r="R16" s="2" t="str">
        <x:v>Yes</x:v>
      </x:c>
      <x:c r="S16" s="2" t="str">
        <x:v>No</x:v>
      </x:c>
      <x:c r="T16" s="2" t="str">
        <x:v>No</x:v>
      </x:c>
      <x:c r="U16" s="2" t="str">
        <x:v>Yes</x:v>
      </x:c>
      <x:c r="V16" s="2" t="str">
        <x:v>Yes</x:v>
      </x:c>
      <x:c r="W16" s="2" t="str">
        <x:v>Yes</x:v>
      </x:c>
      <x:c r="X16" s="2" t="str">
        <x:v>No</x:v>
      </x:c>
      <x:c r="Y16" s="2" t="str">
        <x:v>No</x:v>
      </x:c>
      <x:c r="Z16" s="2" t="str">
        <x:v>No</x:v>
      </x:c>
      <x:c r="AA16" s="2" t="str">
        <x:v>No</x:v>
      </x:c>
      <x:c r="AB16" s="2" t="str">
        <x:v>No</x:v>
      </x:c>
      <x:c r="AC16" s="2" t="str">
        <x:v>No</x:v>
      </x:c>
    </x:row>
    <x:row r="17" ht="76" customHeight="1">
      <x:c r="A17" s="2" t="str">
        <x:v>S16</x:v>
      </x:c>
      <x:c r="B17" s="2" t="str">
        <x:v>merged_1144</x:v>
      </x:c>
      <x:c r="C17" s="6" t="str">
        <x:v>Back to the Basics: Rethinking Issue-Commit Linking with LLM-Assisted Retrieval</x:v>
      </x:c>
      <x:c r="D17" s="2" t="str">
        <x:v>2025</x:v>
      </x:c>
      <x:c r="E17" s="2" t="str">
        <x:v>Published conference paper</x:v>
      </x:c>
      <x:c r="F17" s="2" t="str">
        <x:v>Yes</x:v>
      </x:c>
      <x:c r="G17" s="2" t="str">
        <x:v>Yes</x:v>
      </x:c>
      <x:c r="H17" s="2" t="str">
        <x:v>No</x:v>
      </x:c>
      <x:c r="I17" s="2" t="str">
        <x:v>Yes</x:v>
      </x:c>
      <x:c r="J17" s="2" t="str">
        <x:v>No</x:v>
      </x:c>
      <x:c r="K17" s="2" t="str">
        <x:v>No</x:v>
      </x:c>
      <x:c r="L17" s="2" t="str">
        <x:v>No</x:v>
      </x:c>
      <x:c r="M17" s="6" t="str">
        <x:v>No</x:v>
      </x:c>
      <x:c r="N17" s="2" t="str">
        <x:v>No</x:v>
      </x:c>
      <x:c r="O17" s="6" t="str">
        <x:v>No</x:v>
      </x:c>
      <x:c r="P17" s="2" t="str">
        <x:v>No</x:v>
      </x:c>
      <x:c r="Q17" s="2" t="str">
        <x:v>No</x:v>
      </x:c>
      <x:c r="R17" s="2" t="str">
        <x:v>Yes</x:v>
      </x:c>
      <x:c r="S17" s="2" t="str">
        <x:v>No</x:v>
      </x:c>
      <x:c r="T17" s="2" t="str">
        <x:v>No</x:v>
      </x:c>
      <x:c r="U17" s="2" t="str">
        <x:v>Yes</x:v>
      </x:c>
      <x:c r="V17" s="2" t="str">
        <x:v>Yes</x:v>
      </x:c>
      <x:c r="W17" s="2" t="str">
        <x:v>Yes</x:v>
      </x:c>
      <x:c r="X17" s="2" t="str">
        <x:v>No</x:v>
      </x:c>
      <x:c r="Y17" s="2" t="str">
        <x:v>Yes</x:v>
      </x:c>
      <x:c r="Z17" s="2" t="str">
        <x:v>Yes</x:v>
      </x:c>
      <x:c r="AA17" s="2" t="str">
        <x:v>No</x:v>
      </x:c>
      <x:c r="AB17" s="2" t="str">
        <x:v>No</x:v>
      </x:c>
      <x:c r="AC17" s="2" t="str">
        <x:v>No</x:v>
      </x:c>
    </x:row>
    <x:row r="18" ht="76" customHeight="1">
      <x:c r="A18" s="2" t="str">
        <x:v>S17</x:v>
      </x:c>
      <x:c r="B18" s="2" t="str">
        <x:v>merged_1148</x:v>
      </x:c>
      <x:c r="C18" s="6" t="str">
        <x:v>An LLM-Integrated Framework for Completion, Management, and Tracing of STPA</x:v>
      </x:c>
      <x:c r="D18" s="2" t="str">
        <x:v>2025</x:v>
      </x:c>
      <x:c r="E18" s="2" t="str">
        <x:v>Preprint</x:v>
      </x:c>
      <x:c r="F18" s="2" t="str">
        <x:v>Yes</x:v>
      </x:c>
      <x:c r="G18" s="2" t="str">
        <x:v>Yes</x:v>
      </x:c>
      <x:c r="H18" s="2" t="str">
        <x:v>No</x:v>
      </x:c>
      <x:c r="I18" s="2" t="str">
        <x:v>Yes</x:v>
      </x:c>
      <x:c r="J18" s="2" t="str">
        <x:v>No</x:v>
      </x:c>
      <x:c r="K18" s="2" t="str">
        <x:v>No</x:v>
      </x:c>
      <x:c r="L18" s="2" t="str">
        <x:v>No</x:v>
      </x:c>
      <x:c r="M18" s="6" t="str">
        <x:v>Yes</x:v>
      </x:c>
      <x:c r="N18" s="2" t="str">
        <x:v>No</x:v>
      </x:c>
      <x:c r="O18" s="6" t="str">
        <x:v>No</x:v>
      </x:c>
      <x:c r="P18" s="2" t="str">
        <x:v>No</x:v>
      </x:c>
      <x:c r="Q18" s="2" t="str">
        <x:v>No</x:v>
      </x:c>
      <x:c r="R18" s="2" t="str">
        <x:v>No</x:v>
      </x:c>
      <x:c r="S18" s="2" t="str">
        <x:v>No</x:v>
      </x:c>
      <x:c r="T18" s="2" t="str">
        <x:v>No</x:v>
      </x:c>
      <x:c r="U18" s="2" t="str">
        <x:v>Yes</x:v>
      </x:c>
      <x:c r="V18" s="2" t="str">
        <x:v>No</x:v>
      </x:c>
      <x:c r="W18" s="2" t="str">
        <x:v>No</x:v>
      </x:c>
      <x:c r="X18" s="2" t="str">
        <x:v>No</x:v>
      </x:c>
      <x:c r="Y18" s="2" t="str">
        <x:v>No</x:v>
      </x:c>
      <x:c r="Z18" s="2" t="str">
        <x:v>No</x:v>
      </x:c>
      <x:c r="AA18" s="2" t="str">
        <x:v>No</x:v>
      </x:c>
      <x:c r="AB18" s="2" t="str">
        <x:v>No</x:v>
      </x:c>
      <x:c r="AC18" s="2" t="str">
        <x:v>No</x:v>
      </x:c>
    </x:row>
    <x:row r="19" ht="76" customHeight="1">
      <x:c r="A19" s="2" t="str">
        <x:v>S18</x:v>
      </x:c>
      <x:c r="B19" s="2" t="str">
        <x:v>merged_1149</x:v>
      </x:c>
      <x:c r="C19" s="6" t="str">
        <x:v>Classifier or Prompt: A Case Study on Legal Requirements Traceability</x:v>
      </x:c>
      <x:c r="D19" s="2" t="str">
        <x:v>2025</x:v>
      </x:c>
      <x:c r="E19" s="2" t="str">
        <x:v>Published journal article</x:v>
      </x:c>
      <x:c r="F19" s="2" t="str">
        <x:v>Yes</x:v>
      </x:c>
      <x:c r="G19" s="2" t="str">
        <x:v>Yes</x:v>
      </x:c>
      <x:c r="H19" s="2" t="str">
        <x:v>No</x:v>
      </x:c>
      <x:c r="I19" s="2" t="str">
        <x:v>Yes</x:v>
      </x:c>
      <x:c r="J19" s="2" t="str">
        <x:v>No</x:v>
      </x:c>
      <x:c r="K19" s="2" t="str">
        <x:v>Yes</x:v>
      </x:c>
      <x:c r="L19" s="2" t="str">
        <x:v>No</x:v>
      </x:c>
      <x:c r="M19" s="6" t="str">
        <x:v>No</x:v>
      </x:c>
      <x:c r="N19" s="2" t="str">
        <x:v>No</x:v>
      </x:c>
      <x:c r="O19" s="6" t="str">
        <x:v>No</x:v>
      </x:c>
      <x:c r="P19" s="2" t="str">
        <x:v>No</x:v>
      </x:c>
      <x:c r="Q19" s="2" t="str">
        <x:v>No</x:v>
      </x:c>
      <x:c r="R19" s="2" t="str">
        <x:v>No</x:v>
      </x:c>
      <x:c r="S19" s="2" t="str">
        <x:v>No</x:v>
      </x:c>
      <x:c r="T19" s="2" t="str">
        <x:v>No</x:v>
      </x:c>
      <x:c r="U19" s="2" t="str">
        <x:v>Yes</x:v>
      </x:c>
      <x:c r="V19" s="2" t="str">
        <x:v>No</x:v>
      </x:c>
      <x:c r="W19" s="2" t="str">
        <x:v>Yes</x:v>
      </x:c>
      <x:c r="X19" s="2" t="str">
        <x:v>Yes</x:v>
      </x:c>
      <x:c r="Y19" s="2" t="str">
        <x:v>No</x:v>
      </x:c>
      <x:c r="Z19" s="2" t="str">
        <x:v>No</x:v>
      </x:c>
      <x:c r="AA19" s="2" t="str">
        <x:v>No</x:v>
      </x:c>
      <x:c r="AB19" s="2" t="str">
        <x:v>No</x:v>
      </x:c>
      <x:c r="AC19" s="2" t="str">
        <x:v>No</x:v>
      </x:c>
    </x:row>
    <x:row r="20" ht="76" customHeight="1">
      <x:c r="A20" s="2" t="str">
        <x:v>S19</x:v>
      </x:c>
      <x:c r="B20" s="2" t="str">
        <x:v>merged_1150</x:v>
      </x:c>
      <x:c r="C20" s="6" t="str">
        <x:v>On the Impact of Requirements Smells in Prompts: The Case of Automated Traceability</x:v>
      </x:c>
      <x:c r="D20" s="2" t="str">
        <x:v>2025</x:v>
      </x:c>
      <x:c r="E20" s="2" t="str">
        <x:v>Published conference paper</x:v>
      </x:c>
      <x:c r="F20" s="2" t="str">
        <x:v>Yes</x:v>
      </x:c>
      <x:c r="G20" s="2" t="str">
        <x:v>No</x:v>
      </x:c>
      <x:c r="H20" s="2" t="str">
        <x:v>No</x:v>
      </x:c>
      <x:c r="I20" s="2" t="str">
        <x:v>No</x:v>
      </x:c>
      <x:c r="J20" s="2" t="str">
        <x:v>No</x:v>
      </x:c>
      <x:c r="K20" s="2" t="str">
        <x:v>No</x:v>
      </x:c>
      <x:c r="L20" s="2" t="str">
        <x:v>No</x:v>
      </x:c>
      <x:c r="M20" s="6" t="str">
        <x:v>No</x:v>
      </x:c>
      <x:c r="N20" s="2" t="str">
        <x:v>No</x:v>
      </x:c>
      <x:c r="O20" s="6" t="str">
        <x:v>No</x:v>
      </x:c>
      <x:c r="P20" s="2" t="str">
        <x:v>Yes</x:v>
      </x:c>
      <x:c r="Q20" s="2" t="str">
        <x:v>No</x:v>
      </x:c>
      <x:c r="R20" s="2" t="str">
        <x:v>Yes</x:v>
      </x:c>
      <x:c r="S20" s="2" t="str">
        <x:v>Yes</x:v>
      </x:c>
      <x:c r="T20" s="2" t="str">
        <x:v>No</x:v>
      </x:c>
      <x:c r="U20" s="2" t="str">
        <x:v>No</x:v>
      </x:c>
      <x:c r="V20" s="2" t="str">
        <x:v>No</x:v>
      </x:c>
      <x:c r="W20" s="2" t="str">
        <x:v>Yes</x:v>
      </x:c>
      <x:c r="X20" s="2" t="str">
        <x:v>No</x:v>
      </x:c>
      <x:c r="Y20" s="2" t="str">
        <x:v>Yes</x:v>
      </x:c>
      <x:c r="Z20" s="2" t="str">
        <x:v>Yes</x:v>
      </x:c>
      <x:c r="AA20" s="2" t="str">
        <x:v>No</x:v>
      </x:c>
      <x:c r="AB20" s="2" t="str">
        <x:v>No</x:v>
      </x:c>
      <x:c r="AC20" s="2" t="str">
        <x:v>No</x:v>
      </x:c>
    </x:row>
    <x:row r="21" ht="76" customHeight="1">
      <x:c r="A21" s="2" t="str">
        <x:v>S20</x:v>
      </x:c>
      <x:c r="B21" s="2" t="str">
        <x:v>merged_1151</x:v>
      </x:c>
      <x:c r="C21" s="6" t="str">
        <x:v>Leveraging Graph-RAG and Prompt Engineering to Enhance LLM-Based Automated Requirement Traceability and Compliance Checks</x:v>
      </x:c>
      <x:c r="D21" s="2" t="str">
        <x:v>2024</x:v>
      </x:c>
      <x:c r="E21" s="2" t="str">
        <x:v>Preprint</x:v>
      </x:c>
      <x:c r="F21" s="2" t="str">
        <x:v>Yes</x:v>
      </x:c>
      <x:c r="G21" s="2" t="str">
        <x:v>Yes</x:v>
      </x:c>
      <x:c r="H21" s="2" t="str">
        <x:v>Yes</x:v>
      </x:c>
      <x:c r="I21" s="2" t="str">
        <x:v>Yes</x:v>
      </x:c>
      <x:c r="J21" s="2" t="str">
        <x:v>No</x:v>
      </x:c>
      <x:c r="K21" s="2" t="str">
        <x:v>No</x:v>
      </x:c>
      <x:c r="L21" s="2" t="str">
        <x:v>No</x:v>
      </x:c>
      <x:c r="M21" s="6" t="str">
        <x:v>No</x:v>
      </x:c>
      <x:c r="N21" s="2" t="str">
        <x:v>No</x:v>
      </x:c>
      <x:c r="O21" s="6" t="str">
        <x:v>No</x:v>
      </x:c>
      <x:c r="P21" s="2" t="str">
        <x:v>No</x:v>
      </x:c>
      <x:c r="Q21" s="2" t="str">
        <x:v>No</x:v>
      </x:c>
      <x:c r="R21" s="2" t="str">
        <x:v>No</x:v>
      </x:c>
      <x:c r="S21" s="2" t="str">
        <x:v>No</x:v>
      </x:c>
      <x:c r="T21" s="2" t="str">
        <x:v>No</x:v>
      </x:c>
      <x:c r="U21" s="2" t="str">
        <x:v>Yes</x:v>
      </x:c>
      <x:c r="V21" s="2" t="str">
        <x:v>No</x:v>
      </x:c>
      <x:c r="W21" s="2" t="str">
        <x:v>No</x:v>
      </x:c>
      <x:c r="X21" s="2" t="str">
        <x:v>No</x:v>
      </x:c>
      <x:c r="Y21" s="2" t="str">
        <x:v>No</x:v>
      </x:c>
      <x:c r="Z21" s="2" t="str">
        <x:v>No</x:v>
      </x:c>
      <x:c r="AA21" s="2" t="str">
        <x:v>No</x:v>
      </x:c>
      <x:c r="AB21" s="2" t="str">
        <x:v>No</x:v>
      </x:c>
      <x:c r="AC21" s="2" t="str">
        <x:v>No</x:v>
      </x:c>
    </x:row>
    <x:row r="22" ht="76" customHeight="1">
      <x:c r="A22" s="2" t="str">
        <x:v>S21</x:v>
      </x:c>
      <x:c r="B22" s="2" t="str">
        <x:v>merged_1152</x:v>
      </x:c>
      <x:c r="C22" s="6" t="str">
        <x:v>Prompts Matter: Insights and Strategies for Prompt Engineering in Automated Software Traceability</x:v>
      </x:c>
      <x:c r="D22" s="2" t="str">
        <x:v>2023</x:v>
      </x:c>
      <x:c r="E22" s="2" t="str">
        <x:v>Published workshop paper</x:v>
      </x:c>
      <x:c r="F22" s="2" t="str">
        <x:v>Yes</x:v>
      </x:c>
      <x:c r="G22" s="2" t="str">
        <x:v>No</x:v>
      </x:c>
      <x:c r="H22" s="2" t="str">
        <x:v>Yes</x:v>
      </x:c>
      <x:c r="I22" s="2" t="str">
        <x:v>No</x:v>
      </x:c>
      <x:c r="J22" s="2" t="str">
        <x:v>No</x:v>
      </x:c>
      <x:c r="K22" s="2" t="str">
        <x:v>No</x:v>
      </x:c>
      <x:c r="L22" s="2" t="str">
        <x:v>Yes</x:v>
      </x:c>
      <x:c r="M22" s="6" t="str">
        <x:v>No</x:v>
      </x:c>
      <x:c r="N22" s="2" t="str">
        <x:v>No</x:v>
      </x:c>
      <x:c r="O22" s="6" t="str">
        <x:v>No</x:v>
      </x:c>
      <x:c r="P22" s="2" t="str">
        <x:v>No</x:v>
      </x:c>
      <x:c r="Q22" s="2" t="str">
        <x:v>No</x:v>
      </x:c>
      <x:c r="R22" s="2" t="str">
        <x:v>Yes</x:v>
      </x:c>
      <x:c r="S22" s="2" t="str">
        <x:v>No</x:v>
      </x:c>
      <x:c r="T22" s="2" t="str">
        <x:v>No</x:v>
      </x:c>
      <x:c r="U22" s="2" t="str">
        <x:v>Yes</x:v>
      </x:c>
      <x:c r="V22" s="2" t="str">
        <x:v>No</x:v>
      </x:c>
      <x:c r="W22" s="2" t="str">
        <x:v>No</x:v>
      </x:c>
      <x:c r="X22" s="2" t="str">
        <x:v>No</x:v>
      </x:c>
      <x:c r="Y22" s="2" t="str">
        <x:v>No</x:v>
      </x:c>
      <x:c r="Z22" s="2" t="str">
        <x:v>Yes</x:v>
      </x:c>
      <x:c r="AA22" s="2" t="str">
        <x:v>No</x:v>
      </x:c>
      <x:c r="AB22" s="2" t="str">
        <x:v>No</x:v>
      </x:c>
      <x:c r="AC22" s="2" t="str">
        <x:v>No</x:v>
      </x:c>
    </x:row>
    <x:row r="23" ht="76" customHeight="1">
      <x:c r="A23" s="2" t="str">
        <x:v>S22</x:v>
      </x:c>
      <x:c r="B23" s="2" t="str">
        <x:v>merged_1154</x:v>
      </x:c>
      <x:c r="C23" s="6" t="str">
        <x:v>Specification-Driven Development Benchmark: Security Knowledge Transition</x:v>
      </x:c>
      <x:c r="D23" s="2" t="str">
        <x:v>2026</x:v>
      </x:c>
      <x:c r="E23" s="2" t="str">
        <x:v>Preprint</x:v>
      </x:c>
      <x:c r="F23" s="2" t="str">
        <x:v>No</x:v>
      </x:c>
      <x:c r="G23" s="2" t="str">
        <x:v>No</x:v>
      </x:c>
      <x:c r="H23" s="2" t="str">
        <x:v>No</x:v>
      </x:c>
      <x:c r="I23" s="2" t="str">
        <x:v>No</x:v>
      </x:c>
      <x:c r="J23" s="2" t="str">
        <x:v>No</x:v>
      </x:c>
      <x:c r="K23" s="2" t="str">
        <x:v>No</x:v>
      </x:c>
      <x:c r="L23" s="2" t="str">
        <x:v>No</x:v>
      </x:c>
      <x:c r="M23" s="6" t="str">
        <x:v>No</x:v>
      </x:c>
      <x:c r="N23" s="2" t="str">
        <x:v>No</x:v>
      </x:c>
      <x:c r="O23" s="6" t="str">
        <x:v>No</x:v>
      </x:c>
      <x:c r="P23" s="2" t="str">
        <x:v>No</x:v>
      </x:c>
      <x:c r="Q23" s="2" t="str">
        <x:v>No</x:v>
      </x:c>
      <x:c r="R23" s="2" t="str">
        <x:v>No</x:v>
      </x:c>
      <x:c r="S23" s="2" t="str">
        <x:v>No</x:v>
      </x:c>
      <x:c r="T23" s="2" t="str">
        <x:v>No</x:v>
      </x:c>
      <x:c r="U23" s="2" t="str">
        <x:v>No</x:v>
      </x:c>
      <x:c r="V23" s="2" t="str">
        <x:v>No</x:v>
      </x:c>
      <x:c r="W23" s="2" t="str">
        <x:v>No</x:v>
      </x:c>
      <x:c r="X23" s="2" t="str">
        <x:v>No</x:v>
      </x:c>
      <x:c r="Y23" s="2" t="str">
        <x:v>No</x:v>
      </x:c>
      <x:c r="Z23" s="2" t="str">
        <x:v>No</x:v>
      </x:c>
      <x:c r="AA23" s="2" t="str">
        <x:v>No</x:v>
      </x:c>
      <x:c r="AB23" s="2" t="str">
        <x:v>No</x:v>
      </x:c>
      <x:c r="AC23" s="2" t="str">
        <x:v>No</x:v>
      </x:c>
    </x:row>
    <x:row r="24" ht="76" customHeight="1">
      <x:c r="A24" s="2" t="str">
        <x:v>S23</x:v>
      </x:c>
      <x:c r="B24" s="2" t="str">
        <x:v>merged_1156</x:v>
      </x:c>
      <x:c r="C24" s="6" t="str">
        <x:v>Code Gradients: Towards Automated Traceability of LLM-Generated Code</x:v>
      </x:c>
      <x:c r="D24" s="2" t="str">
        <x:v>2024</x:v>
      </x:c>
      <x:c r="E24" s="2" t="str">
        <x:v>Published conference paper</x:v>
      </x:c>
      <x:c r="F24" s="2" t="str">
        <x:v>Yes</x:v>
      </x:c>
      <x:c r="G24" s="2" t="str">
        <x:v>Yes</x:v>
      </x:c>
      <x:c r="H24" s="2" t="str">
        <x:v>No</x:v>
      </x:c>
      <x:c r="I24" s="2" t="str">
        <x:v>No</x:v>
      </x:c>
      <x:c r="J24" s="2" t="str">
        <x:v>No</x:v>
      </x:c>
      <x:c r="K24" s="2" t="str">
        <x:v>No</x:v>
      </x:c>
      <x:c r="L24" s="2" t="str">
        <x:v>Yes</x:v>
      </x:c>
      <x:c r="M24" s="6" t="str">
        <x:v>Yes</x:v>
      </x:c>
      <x:c r="N24" s="2" t="str">
        <x:v>No</x:v>
      </x:c>
      <x:c r="O24" s="6" t="str">
        <x:v>No</x:v>
      </x:c>
      <x:c r="P24" s="2" t="str">
        <x:v>No</x:v>
      </x:c>
      <x:c r="Q24" s="2" t="str">
        <x:v>No</x:v>
      </x:c>
      <x:c r="R24" s="2" t="str">
        <x:v>No</x:v>
      </x:c>
      <x:c r="S24" s="2" t="str">
        <x:v>Yes</x:v>
      </x:c>
      <x:c r="T24" s="2" t="str">
        <x:v>No</x:v>
      </x:c>
      <x:c r="U24" s="2" t="str">
        <x:v>Yes</x:v>
      </x:c>
      <x:c r="V24" s="2" t="str">
        <x:v>No</x:v>
      </x:c>
      <x:c r="W24" s="2" t="str">
        <x:v>No</x:v>
      </x:c>
      <x:c r="X24" s="2" t="str">
        <x:v>No</x:v>
      </x:c>
      <x:c r="Y24" s="2" t="str">
        <x:v>No</x:v>
      </x:c>
      <x:c r="Z24" s="2" t="str">
        <x:v>No</x:v>
      </x:c>
      <x:c r="AA24" s="2" t="str">
        <x:v>No</x:v>
      </x:c>
      <x:c r="AB24" s="2" t="str">
        <x:v>No</x:v>
      </x:c>
      <x:c r="AC24" s="2" t="str">
        <x:v>No</x:v>
      </x:c>
    </x:row>
    <x:row r="25" ht="76" customHeight="1">
      <x:c r="A25" s="2" t="str">
        <x:v>S24</x:v>
      </x:c>
      <x:c r="B25" s="2" t="str">
        <x:v>merged_1172</x:v>
      </x:c>
      <x:c r="C25" s="6" t="str">
        <x:v>Automated Extraction and Cross-Document Analysis of Aerospace Project Requirements Using LLMs</x:v>
      </x:c>
      <x:c r="D25" s="2" t="str">
        <x:v>2026</x:v>
      </x:c>
      <x:c r="E25" s="2" t="str">
        <x:v>Published conference paper</x:v>
      </x:c>
      <x:c r="F25" s="2" t="str">
        <x:v>Yes</x:v>
      </x:c>
      <x:c r="G25" s="2" t="str">
        <x:v>Yes</x:v>
      </x:c>
      <x:c r="H25" s="2" t="str">
        <x:v>No</x:v>
      </x:c>
      <x:c r="I25" s="2" t="str">
        <x:v>No</x:v>
      </x:c>
      <x:c r="J25" s="2" t="str">
        <x:v>No</x:v>
      </x:c>
      <x:c r="K25" s="2" t="str">
        <x:v>No</x:v>
      </x:c>
      <x:c r="L25" s="2" t="str">
        <x:v>No</x:v>
      </x:c>
      <x:c r="M25" s="6" t="str">
        <x:v>No</x:v>
      </x:c>
      <x:c r="N25" s="2" t="str">
        <x:v>No</x:v>
      </x:c>
      <x:c r="O25" s="6" t="str">
        <x:v>No</x:v>
      </x:c>
      <x:c r="P25" s="2" t="str">
        <x:v>No</x:v>
      </x:c>
      <x:c r="Q25" s="2" t="str">
        <x:v>No</x:v>
      </x:c>
      <x:c r="R25" s="2" t="str">
        <x:v>No</x:v>
      </x:c>
      <x:c r="S25" s="2" t="str">
        <x:v>No</x:v>
      </x:c>
      <x:c r="T25" s="2" t="str">
        <x:v>No</x:v>
      </x:c>
      <x:c r="U25" s="2" t="str">
        <x:v>Yes</x:v>
      </x:c>
      <x:c r="V25" s="2" t="str">
        <x:v>No</x:v>
      </x:c>
      <x:c r="W25" s="2" t="str">
        <x:v>No</x:v>
      </x:c>
      <x:c r="X25" s="2" t="str">
        <x:v>No</x:v>
      </x:c>
      <x:c r="Y25" s="2" t="str">
        <x:v>No</x:v>
      </x:c>
      <x:c r="Z25" s="2" t="str">
        <x:v>No</x:v>
      </x:c>
      <x:c r="AA25" s="2" t="str">
        <x:v>No</x:v>
      </x:c>
      <x:c r="AB25" s="2" t="str">
        <x:v>No</x:v>
      </x:c>
      <x:c r="AC25" s="2" t="str">
        <x:v>No</x:v>
      </x:c>
    </x:row>
    <x:row r="26" ht="76" customHeight="1">
      <x:c r="A26" s="2" t="str">
        <x:v>S25</x:v>
      </x:c>
      <x:c r="B26" s="2" t="str">
        <x:v>merged_1185</x:v>
      </x:c>
      <x:c r="C26" s="6" t="str">
        <x:v>Agentic RAG for Software Testing with Hybrid Vector-Graph and Multi-Agent Orchestration</x:v>
      </x:c>
      <x:c r="D26" s="2" t="str">
        <x:v>2025</x:v>
      </x:c>
      <x:c r="E26" s="2" t="str">
        <x:v>Published conference paper</x:v>
      </x:c>
      <x:c r="F26" s="2" t="str">
        <x:v>Yes</x:v>
      </x:c>
      <x:c r="G26" s="2" t="str">
        <x:v>No</x:v>
      </x:c>
      <x:c r="H26" s="2" t="str">
        <x:v>No</x:v>
      </x:c>
      <x:c r="I26" s="2" t="str">
        <x:v>No</x:v>
      </x:c>
      <x:c r="J26" s="2" t="str">
        <x:v>No</x:v>
      </x:c>
      <x:c r="K26" s="2" t="str">
        <x:v>No</x:v>
      </x:c>
      <x:c r="L26" s="2" t="str">
        <x:v>Yes</x:v>
      </x:c>
      <x:c r="M26" s="6" t="str">
        <x:v>Yes</x:v>
      </x:c>
      <x:c r="N26" s="2" t="str">
        <x:v>Yes</x:v>
      </x:c>
      <x:c r="O26" s="6" t="str">
        <x:v>No</x:v>
      </x:c>
      <x:c r="P26" s="2" t="str">
        <x:v>Yes</x:v>
      </x:c>
      <x:c r="Q26" s="2" t="str">
        <x:v>No</x:v>
      </x:c>
      <x:c r="R26" s="2" t="str">
        <x:v>Yes</x:v>
      </x:c>
      <x:c r="S26" s="2" t="str">
        <x:v>Yes</x:v>
      </x:c>
      <x:c r="T26" s="2" t="str">
        <x:v>No</x:v>
      </x:c>
      <x:c r="U26" s="2" t="str">
        <x:v>No</x:v>
      </x:c>
      <x:c r="V26" s="2" t="str">
        <x:v>No</x:v>
      </x:c>
      <x:c r="W26" s="2" t="str">
        <x:v>No</x:v>
      </x:c>
      <x:c r="X26" s="2" t="str">
        <x:v>No</x:v>
      </x:c>
      <x:c r="Y26" s="2" t="str">
        <x:v>No</x:v>
      </x:c>
      <x:c r="Z26" s="2" t="str">
        <x:v>No</x:v>
      </x:c>
      <x:c r="AA26" s="2" t="str">
        <x:v>No</x:v>
      </x:c>
      <x:c r="AB26" s="2" t="str">
        <x:v>No</x:v>
      </x:c>
      <x:c r="AC26" s="2" t="str">
        <x:v>No</x:v>
      </x:c>
    </x:row>
    <x:row r="27" ht="76" customHeight="1">
      <x:c r="A27" s="2" t="str">
        <x:v>S26</x:v>
      </x:c>
      <x:c r="B27" s="2" t="str">
        <x:v>merged_1212</x:v>
      </x:c>
      <x:c r="C27" s="6" t="str">
        <x:v>Intelligent Traceability to Support Software Maintainability and Accountability</x:v>
      </x:c>
      <x:c r="D27" s="2" t="str">
        <x:v>2025</x:v>
      </x:c>
      <x:c r="E27" s="2" t="str">
        <x:v>Published conference paper</x:v>
      </x:c>
      <x:c r="F27" s="2" t="str">
        <x:v>Yes</x:v>
      </x:c>
      <x:c r="G27" s="2" t="str">
        <x:v>No</x:v>
      </x:c>
      <x:c r="H27" s="2" t="str">
        <x:v>No</x:v>
      </x:c>
      <x:c r="I27" s="2" t="str">
        <x:v>No</x:v>
      </x:c>
      <x:c r="J27" s="2" t="str">
        <x:v>No</x:v>
      </x:c>
      <x:c r="K27" s="2" t="str">
        <x:v>No</x:v>
      </x:c>
      <x:c r="L27" s="2" t="str">
        <x:v>No</x:v>
      </x:c>
      <x:c r="M27" s="6" t="str">
        <x:v>No</x:v>
      </x:c>
      <x:c r="N27" s="2" t="str">
        <x:v>No</x:v>
      </x:c>
      <x:c r="O27" s="6" t="str">
        <x:v>No</x:v>
      </x:c>
      <x:c r="P27" s="2" t="str">
        <x:v>No</x:v>
      </x:c>
      <x:c r="Q27" s="2" t="str">
        <x:v>No</x:v>
      </x:c>
      <x:c r="R27" s="2" t="str">
        <x:v>No</x:v>
      </x:c>
      <x:c r="S27" s="2" t="str">
        <x:v>No</x:v>
      </x:c>
      <x:c r="T27" s="2" t="str">
        <x:v>No</x:v>
      </x:c>
      <x:c r="U27" s="2" t="str">
        <x:v>No</x:v>
      </x:c>
      <x:c r="V27" s="2" t="str">
        <x:v>No</x:v>
      </x:c>
      <x:c r="W27" s="2" t="str">
        <x:v>No</x:v>
      </x:c>
      <x:c r="X27" s="2" t="str">
        <x:v>No</x:v>
      </x:c>
      <x:c r="Y27" s="2" t="str">
        <x:v>No</x:v>
      </x:c>
      <x:c r="Z27" s="2" t="str">
        <x:v>No</x:v>
      </x:c>
      <x:c r="AA27" s="2" t="str">
        <x:v>No</x:v>
      </x:c>
      <x:c r="AB27" s="2" t="str">
        <x:v>No</x:v>
      </x:c>
      <x:c r="AC27" s="2" t="str">
        <x:v>No</x:v>
      </x:c>
    </x:row>
    <x:row r="28" ht="76" customHeight="1">
      <x:c r="A28" s="2" t="str">
        <x:v>S27</x:v>
      </x:c>
      <x:c r="B28" s="2" t="str">
        <x:v>merged_1213</x:v>
      </x:c>
      <x:c r="C28" s="6" t="str">
        <x:v>Beyond Retrieval: A Study of Using LLM Ensembles for Candidate Filtering in Requirements Traceability</x:v>
      </x:c>
      <x:c r="D28" s="2" t="str">
        <x:v>2025</x:v>
      </x:c>
      <x:c r="E28" s="2" t="str">
        <x:v>Published workshop paper</x:v>
      </x:c>
      <x:c r="F28" s="2" t="str">
        <x:v>Yes</x:v>
      </x:c>
      <x:c r="G28" s="2" t="str">
        <x:v>No</x:v>
      </x:c>
      <x:c r="H28" s="2" t="str">
        <x:v>Yes</x:v>
      </x:c>
      <x:c r="I28" s="2" t="str">
        <x:v>No</x:v>
      </x:c>
      <x:c r="J28" s="2" t="str">
        <x:v>No</x:v>
      </x:c>
      <x:c r="K28" s="2" t="str">
        <x:v>No</x:v>
      </x:c>
      <x:c r="L28" s="2" t="str">
        <x:v>No</x:v>
      </x:c>
      <x:c r="M28" s="6" t="str">
        <x:v>No</x:v>
      </x:c>
      <x:c r="N28" s="2" t="str">
        <x:v>No</x:v>
      </x:c>
      <x:c r="O28" s="6" t="str">
        <x:v>No</x:v>
      </x:c>
      <x:c r="P28" s="2" t="str">
        <x:v>No</x:v>
      </x:c>
      <x:c r="Q28" s="2" t="str">
        <x:v>No</x:v>
      </x:c>
      <x:c r="R28" s="2" t="str">
        <x:v>Yes</x:v>
      </x:c>
      <x:c r="S28" s="2" t="str">
        <x:v>Yes</x:v>
      </x:c>
      <x:c r="T28" s="2" t="str">
        <x:v>No</x:v>
      </x:c>
      <x:c r="U28" s="2" t="str">
        <x:v>Yes</x:v>
      </x:c>
      <x:c r="V28" s="2" t="str">
        <x:v>Yes</x:v>
      </x:c>
      <x:c r="W28" s="2" t="str">
        <x:v>Yes</x:v>
      </x:c>
      <x:c r="X28" s="2" t="str">
        <x:v>Yes</x:v>
      </x:c>
      <x:c r="Y28" s="2" t="str">
        <x:v>No</x:v>
      </x:c>
      <x:c r="Z28" s="2" t="str">
        <x:v>No</x:v>
      </x:c>
      <x:c r="AA28" s="2" t="str">
        <x:v>No</x:v>
      </x:c>
      <x:c r="AB28" s="2" t="str">
        <x:v>No</x:v>
      </x:c>
      <x:c r="AC28" s="2" t="str">
        <x:v>No</x:v>
      </x:c>
    </x:row>
    <x:row r="29" ht="76" customHeight="1">
      <x:c r="A29" s="2" t="str">
        <x:v>S28</x:v>
      </x:c>
      <x:c r="B29" s="2" t="str">
        <x:v>merged_1214</x:v>
      </x:c>
      <x:c r="C29" s="6" t="str">
        <x:v>Establishing Traceability Between Natural Language Requirements and Software Artifacts by Combining RAG and LLMs</x:v>
      </x:c>
      <x:c r="D29" s="2" t="str">
        <x:v>2025</x:v>
      </x:c>
      <x:c r="E29" s="2" t="str">
        <x:v>Published conference paper</x:v>
      </x:c>
      <x:c r="F29" s="2" t="str">
        <x:v>Yes</x:v>
      </x:c>
      <x:c r="G29" s="2" t="str">
        <x:v>Yes</x:v>
      </x:c>
      <x:c r="H29" s="2" t="str">
        <x:v>No</x:v>
      </x:c>
      <x:c r="I29" s="2" t="str">
        <x:v>Yes</x:v>
      </x:c>
      <x:c r="J29" s="2" t="str">
        <x:v>No</x:v>
      </x:c>
      <x:c r="K29" s="2" t="str">
        <x:v>No</x:v>
      </x:c>
      <x:c r="L29" s="2" t="str">
        <x:v>No</x:v>
      </x:c>
      <x:c r="M29" s="6" t="str">
        <x:v>Yes</x:v>
      </x:c>
      <x:c r="N29" s="2" t="str">
        <x:v>Yes</x:v>
      </x:c>
      <x:c r="O29" s="6" t="str">
        <x:v>No</x:v>
      </x:c>
      <x:c r="P29" s="2" t="str">
        <x:v>No</x:v>
      </x:c>
      <x:c r="Q29" s="2" t="str">
        <x:v>No</x:v>
      </x:c>
      <x:c r="R29" s="2" t="str">
        <x:v>Yes</x:v>
      </x:c>
      <x:c r="S29" s="2" t="str">
        <x:v>Yes</x:v>
      </x:c>
      <x:c r="T29" s="2" t="str">
        <x:v>No</x:v>
      </x:c>
      <x:c r="U29" s="2" t="str">
        <x:v>Yes</x:v>
      </x:c>
      <x:c r="V29" s="2" t="str">
        <x:v>Yes</x:v>
      </x:c>
      <x:c r="W29" s="2" t="str">
        <x:v>No</x:v>
      </x:c>
      <x:c r="X29" s="2" t="str">
        <x:v>No</x:v>
      </x:c>
      <x:c r="Y29" s="2" t="str">
        <x:v>No</x:v>
      </x:c>
      <x:c r="Z29" s="2" t="str">
        <x:v>Yes</x:v>
      </x:c>
      <x:c r="AA29" s="2" t="str">
        <x:v>No</x:v>
      </x:c>
      <x:c r="AB29" s="2" t="str">
        <x:v>No</x:v>
      </x:c>
      <x:c r="AC29" s="2" t="str">
        <x:v>No</x:v>
      </x:c>
    </x:row>
    <x:row r="30" ht="76" customHeight="1">
      <x:c r="A30" s="2" t="str">
        <x:v>S29</x:v>
      </x:c>
      <x:c r="B30" s="2" t="str">
        <x:v>merged_1215</x:v>
      </x:c>
      <x:c r="C30" s="6" t="str">
        <x:v>TVR: Automotive System Requirements Traceability Validation and Recovery Through Retrieval-Augmented Generation</x:v>
      </x:c>
      <x:c r="D30" s="2" t="str">
        <x:v>2026</x:v>
      </x:c>
      <x:c r="E30" s="2" t="str">
        <x:v>Preprint</x:v>
      </x:c>
      <x:c r="F30" s="2" t="str">
        <x:v>Yes</x:v>
      </x:c>
      <x:c r="G30" s="2" t="str">
        <x:v>No</x:v>
      </x:c>
      <x:c r="H30" s="2" t="str">
        <x:v>No</x:v>
      </x:c>
      <x:c r="I30" s="2" t="str">
        <x:v>Yes</x:v>
      </x:c>
      <x:c r="J30" s="2" t="str">
        <x:v>No</x:v>
      </x:c>
      <x:c r="K30" s="2" t="str">
        <x:v>Yes</x:v>
      </x:c>
      <x:c r="L30" s="2" t="str">
        <x:v>No</x:v>
      </x:c>
      <x:c r="M30" s="6" t="str">
        <x:v>Yes</x:v>
      </x:c>
      <x:c r="N30" s="2" t="str">
        <x:v>Yes</x:v>
      </x:c>
      <x:c r="O30" s="6" t="str">
        <x:v>No</x:v>
      </x:c>
      <x:c r="P30" s="2" t="str">
        <x:v>No</x:v>
      </x:c>
      <x:c r="Q30" s="2" t="str">
        <x:v>No</x:v>
      </x:c>
      <x:c r="R30" s="2" t="str">
        <x:v>No</x:v>
      </x:c>
      <x:c r="S30" s="2" t="str">
        <x:v>No</x:v>
      </x:c>
      <x:c r="T30" s="2" t="str">
        <x:v>No</x:v>
      </x:c>
      <x:c r="U30" s="2" t="str">
        <x:v>Yes</x:v>
      </x:c>
      <x:c r="V30" s="2" t="str">
        <x:v>Yes</x:v>
      </x:c>
      <x:c r="W30" s="2" t="str">
        <x:v>Yes</x:v>
      </x:c>
      <x:c r="X30" s="2" t="str">
        <x:v>No</x:v>
      </x:c>
      <x:c r="Y30" s="2" t="str">
        <x:v>Yes</x:v>
      </x:c>
      <x:c r="Z30" s="2" t="str">
        <x:v>No</x:v>
      </x:c>
      <x:c r="AA30" s="2" t="str">
        <x:v>No</x:v>
      </x:c>
      <x:c r="AB30" s="2" t="str">
        <x:v>No</x:v>
      </x:c>
      <x:c r="AC30" s="2" t="str">
        <x:v>No</x:v>
      </x:c>
    </x:row>
    <x:row r="31" ht="76" customHeight="1">
      <x:c r="A31" s="2" t="str">
        <x:v>S30</x:v>
      </x:c>
      <x:c r="B31" s="2" t="str">
        <x:v>merged_1218</x:v>
      </x:c>
      <x:c r="C31" s="6" t="str">
        <x:v>Navigating through Work Items in Issue Tracking Systems via Natural Language Queries</x:v>
      </x:c>
      <x:c r="D31" s="2" t="str">
        <x:v>2025</x:v>
      </x:c>
      <x:c r="E31" s="2" t="str">
        <x:v>Published conference paper</x:v>
      </x:c>
      <x:c r="F31" s="2" t="str">
        <x:v>Yes</x:v>
      </x:c>
      <x:c r="G31" s="2" t="str">
        <x:v>Yes</x:v>
      </x:c>
      <x:c r="H31" s="2" t="str">
        <x:v>No</x:v>
      </x:c>
      <x:c r="I31" s="2" t="str">
        <x:v>Yes</x:v>
      </x:c>
      <x:c r="J31" s="2" t="str">
        <x:v>No</x:v>
      </x:c>
      <x:c r="K31" s="2" t="str">
        <x:v>Yes</x:v>
      </x:c>
      <x:c r="L31" s="2" t="str">
        <x:v>No</x:v>
      </x:c>
      <x:c r="M31" s="6" t="str">
        <x:v>No</x:v>
      </x:c>
      <x:c r="N31" s="2" t="str">
        <x:v>No</x:v>
      </x:c>
      <x:c r="O31" s="6" t="str">
        <x:v>No</x:v>
      </x:c>
      <x:c r="P31" s="2" t="str">
        <x:v>No</x:v>
      </x:c>
      <x:c r="Q31" s="2" t="str">
        <x:v>No</x:v>
      </x:c>
      <x:c r="R31" s="2" t="str">
        <x:v>Yes</x:v>
      </x:c>
      <x:c r="S31" s="2" t="str">
        <x:v>Yes</x:v>
      </x:c>
      <x:c r="T31" s="2" t="str">
        <x:v>No</x:v>
      </x:c>
      <x:c r="U31" s="2" t="str">
        <x:v>Yes</x:v>
      </x:c>
      <x:c r="V31" s="2" t="str">
        <x:v>Yes</x:v>
      </x:c>
      <x:c r="W31" s="2" t="str">
        <x:v>Yes</x:v>
      </x:c>
      <x:c r="X31" s="2" t="str">
        <x:v>No</x:v>
      </x:c>
      <x:c r="Y31" s="2" t="str">
        <x:v>No</x:v>
      </x:c>
      <x:c r="Z31" s="2" t="str">
        <x:v>No</x:v>
      </x:c>
      <x:c r="AA31" s="2" t="str">
        <x:v>No</x:v>
      </x:c>
      <x:c r="AB31" s="2" t="str">
        <x:v>No</x:v>
      </x:c>
      <x:c r="AC31" s="2" t="str">
        <x:v>No</x:v>
      </x:c>
    </x:row>
    <x:row r="32" ht="76" customHeight="1">
      <x:c r="A32" s="2" t="str">
        <x:v>S31</x:v>
      </x:c>
      <x:c r="B32" s="2" t="str">
        <x:v>merged_1219</x:v>
      </x:c>
      <x:c r="C32" s="6" t="str">
        <x:v>Generating Context-Aware Learning Materials for Software Security via LLM Agents and Traceability</x:v>
      </x:c>
      <x:c r="D32" s="2" t="str">
        <x:v>2025</x:v>
      </x:c>
      <x:c r="E32" s="2" t="str">
        <x:v>Published workshop paper</x:v>
      </x:c>
      <x:c r="F32" s="2" t="str">
        <x:v>No</x:v>
      </x:c>
      <x:c r="G32" s="2" t="str">
        <x:v>No</x:v>
      </x:c>
      <x:c r="H32" s="2" t="str">
        <x:v>No</x:v>
      </x:c>
      <x:c r="I32" s="2" t="str">
        <x:v>No</x:v>
      </x:c>
      <x:c r="J32" s="2" t="str">
        <x:v>No</x:v>
      </x:c>
      <x:c r="K32" s="2" t="str">
        <x:v>No</x:v>
      </x:c>
      <x:c r="L32" s="2" t="str">
        <x:v>No</x:v>
      </x:c>
      <x:c r="M32" s="6" t="str">
        <x:v>No</x:v>
      </x:c>
      <x:c r="N32" s="2" t="str">
        <x:v>No</x:v>
      </x:c>
      <x:c r="O32" s="6" t="str">
        <x:v>No</x:v>
      </x:c>
      <x:c r="P32" s="2" t="str">
        <x:v>No</x:v>
      </x:c>
      <x:c r="Q32" s="2" t="str">
        <x:v>No</x:v>
      </x:c>
      <x:c r="R32" s="2" t="str">
        <x:v>Yes</x:v>
      </x:c>
      <x:c r="S32" s="2" t="str">
        <x:v>No</x:v>
      </x:c>
      <x:c r="T32" s="2" t="str">
        <x:v>No</x:v>
      </x:c>
      <x:c r="U32" s="2" t="str">
        <x:v>Yes</x:v>
      </x:c>
      <x:c r="V32" s="2" t="str">
        <x:v>Yes</x:v>
      </x:c>
      <x:c r="W32" s="2" t="str">
        <x:v>No</x:v>
      </x:c>
      <x:c r="X32" s="2" t="str">
        <x:v>No</x:v>
      </x:c>
      <x:c r="Y32" s="2" t="str">
        <x:v>No</x:v>
      </x:c>
      <x:c r="Z32" s="2" t="str">
        <x:v>No</x:v>
      </x:c>
      <x:c r="AA32" s="2" t="str">
        <x:v>No</x:v>
      </x:c>
      <x:c r="AB32" s="2" t="str">
        <x:v>No</x:v>
      </x:c>
      <x:c r="AC32" s="2" t="str">
        <x:v>No</x:v>
      </x:c>
    </x:row>
    <x:row r="33" ht="76" customHeight="1">
      <x:c r="A33" s="2" t="str">
        <x:v>S32</x:v>
      </x:c>
      <x:c r="B33" s="2" t="str">
        <x:v>merged_1220</x:v>
      </x:c>
      <x:c r="C33" s="6" t="str">
        <x:v>Constructing Cross-Level Traceability Links in the Automotive Domain: A Case Study</x:v>
      </x:c>
      <x:c r="D33" s="2" t="str">
        <x:v>2025</x:v>
      </x:c>
      <x:c r="E33" s="2" t="str">
        <x:v>Published workshop paper</x:v>
      </x:c>
      <x:c r="F33" s="2" t="str">
        <x:v>Yes</x:v>
      </x:c>
      <x:c r="G33" s="2" t="str">
        <x:v>Yes</x:v>
      </x:c>
      <x:c r="H33" s="2" t="str">
        <x:v>No</x:v>
      </x:c>
      <x:c r="I33" s="2" t="str">
        <x:v>Yes</x:v>
      </x:c>
      <x:c r="J33" s="2" t="str">
        <x:v>No</x:v>
      </x:c>
      <x:c r="K33" s="2" t="str">
        <x:v>No</x:v>
      </x:c>
      <x:c r="L33" s="2" t="str">
        <x:v>No</x:v>
      </x:c>
      <x:c r="M33" s="6" t="str">
        <x:v>No</x:v>
      </x:c>
      <x:c r="N33" s="2" t="str">
        <x:v>No</x:v>
      </x:c>
      <x:c r="O33" s="6" t="str">
        <x:v>No</x:v>
      </x:c>
      <x:c r="P33" s="2" t="str">
        <x:v>No</x:v>
      </x:c>
      <x:c r="Q33" s="2" t="str">
        <x:v>No</x:v>
      </x:c>
      <x:c r="R33" s="2" t="str">
        <x:v>No</x:v>
      </x:c>
      <x:c r="S33" s="2" t="str">
        <x:v>No</x:v>
      </x:c>
      <x:c r="T33" s="2" t="str">
        <x:v>No</x:v>
      </x:c>
      <x:c r="U33" s="2" t="str">
        <x:v>No</x:v>
      </x:c>
      <x:c r="V33" s="2" t="str">
        <x:v>No</x:v>
      </x:c>
      <x:c r="W33" s="2" t="str">
        <x:v>No</x:v>
      </x:c>
      <x:c r="X33" s="2" t="str">
        <x:v>No</x:v>
      </x:c>
      <x:c r="Y33" s="2" t="str">
        <x:v>No</x:v>
      </x:c>
      <x:c r="Z33" s="2" t="str">
        <x:v>No</x:v>
      </x:c>
      <x:c r="AA33" s="2" t="str">
        <x:v>No</x:v>
      </x:c>
      <x:c r="AB33" s="2" t="str">
        <x:v>No</x:v>
      </x:c>
      <x:c r="AC33" s="2" t="str">
        <x:v>No</x:v>
      </x:c>
    </x:row>
    <x:row r="34" ht="76" customHeight="1">
      <x:c r="A34" s="2" t="str">
        <x:v>S33</x:v>
      </x:c>
      <x:c r="B34" s="2" t="str">
        <x:v>merged_1222</x:v>
      </x:c>
      <x:c r="C34" s="6" t="str">
        <x:v>Can we use LLMs to recover Trace Links between Source Code and Security Requirements?</x:v>
      </x:c>
      <x:c r="D34" s="2" t="str">
        <x:v>2025</x:v>
      </x:c>
      <x:c r="E34" s="2" t="str">
        <x:v>Published workshop paper</x:v>
      </x:c>
      <x:c r="F34" s="2" t="str">
        <x:v>Yes</x:v>
      </x:c>
      <x:c r="G34" s="2" t="str">
        <x:v>Yes</x:v>
      </x:c>
      <x:c r="H34" s="2" t="str">
        <x:v>No</x:v>
      </x:c>
      <x:c r="I34" s="2" t="str">
        <x:v>No</x:v>
      </x:c>
      <x:c r="J34" s="2" t="str">
        <x:v>No</x:v>
      </x:c>
      <x:c r="K34" s="2" t="str">
        <x:v>Yes</x:v>
      </x:c>
      <x:c r="L34" s="2" t="str">
        <x:v>No</x:v>
      </x:c>
      <x:c r="M34" s="6" t="str">
        <x:v>Yes</x:v>
      </x:c>
      <x:c r="N34" s="2" t="str">
        <x:v>No</x:v>
      </x:c>
      <x:c r="O34" s="6" t="str">
        <x:v>Yes</x:v>
      </x:c>
      <x:c r="P34" s="2" t="str">
        <x:v>Yes</x:v>
      </x:c>
      <x:c r="Q34" s="2" t="str">
        <x:v>No</x:v>
      </x:c>
      <x:c r="R34" s="2" t="str">
        <x:v>Yes</x:v>
      </x:c>
      <x:c r="S34" s="2" t="str">
        <x:v>Yes</x:v>
      </x:c>
      <x:c r="T34" s="2" t="str">
        <x:v>No</x:v>
      </x:c>
      <x:c r="U34" s="2" t="str">
        <x:v>Yes</x:v>
      </x:c>
      <x:c r="V34" s="2" t="str">
        <x:v>Yes</x:v>
      </x:c>
      <x:c r="W34" s="2" t="str">
        <x:v>No</x:v>
      </x:c>
      <x:c r="X34" s="2" t="str">
        <x:v>No</x:v>
      </x:c>
      <x:c r="Y34" s="2" t="str">
        <x:v>No</x:v>
      </x:c>
      <x:c r="Z34" s="2" t="str">
        <x:v>No</x:v>
      </x:c>
      <x:c r="AA34" s="2" t="str">
        <x:v>No</x:v>
      </x:c>
      <x:c r="AB34" s="2" t="str">
        <x:v>No</x:v>
      </x:c>
      <x:c r="AC34" s="2" t="str">
        <x:v>No</x:v>
      </x:c>
    </x:row>
    <x:row r="35" ht="76" customHeight="1">
      <x:c r="A35" s="2" t="str">
        <x:v>S34</x:v>
      </x:c>
      <x:c r="B35" s="2" t="str">
        <x:v>merged_1224</x:v>
      </x:c>
      <x:c r="C35" s="6" t="str">
        <x:v>Behavioral Augmentation of UML Class Diagrams: An Empirical Study of Large Language Models for Method Generation</x:v>
      </x:c>
      <x:c r="D35" s="2" t="str">
        <x:v>2025</x:v>
      </x:c>
      <x:c r="E35" s="2" t="str">
        <x:v>Preprint</x:v>
      </x:c>
      <x:c r="F35" s="2" t="str">
        <x:v>Yes</x:v>
      </x:c>
      <x:c r="G35" s="2" t="str">
        <x:v>Yes</x:v>
      </x:c>
      <x:c r="H35" s="2" t="str">
        <x:v>No</x:v>
      </x:c>
      <x:c r="I35" s="2" t="str">
        <x:v>No</x:v>
      </x:c>
      <x:c r="J35" s="2" t="str">
        <x:v>No</x:v>
      </x:c>
      <x:c r="K35" s="2" t="str">
        <x:v>No</x:v>
      </x:c>
      <x:c r="L35" s="2" t="str">
        <x:v>No</x:v>
      </x:c>
      <x:c r="M35" s="6" t="str">
        <x:v>No</x:v>
      </x:c>
      <x:c r="N35" s="2" t="str">
        <x:v>No</x:v>
      </x:c>
      <x:c r="O35" s="6" t="str">
        <x:v>No</x:v>
      </x:c>
      <x:c r="P35" s="2" t="str">
        <x:v>No</x:v>
      </x:c>
      <x:c r="Q35" s="2" t="str">
        <x:v>No</x:v>
      </x:c>
      <x:c r="R35" s="2" t="str">
        <x:v>Yes</x:v>
      </x:c>
      <x:c r="S35" s="2" t="str">
        <x:v>Yes</x:v>
      </x:c>
      <x:c r="T35" s="2" t="str">
        <x:v>No</x:v>
      </x:c>
      <x:c r="U35" s="2" t="str">
        <x:v>No</x:v>
      </x:c>
      <x:c r="V35" s="2" t="str">
        <x:v>No</x:v>
      </x:c>
      <x:c r="W35" s="2" t="str">
        <x:v>No</x:v>
      </x:c>
      <x:c r="X35" s="2" t="str">
        <x:v>No</x:v>
      </x:c>
      <x:c r="Y35" s="2" t="str">
        <x:v>Yes</x:v>
      </x:c>
      <x:c r="Z35" s="2" t="str">
        <x:v>Yes</x:v>
      </x:c>
      <x:c r="AA35" s="2" t="str">
        <x:v>No</x:v>
      </x:c>
      <x:c r="AB35" s="2" t="str">
        <x:v>No</x:v>
      </x:c>
      <x:c r="AC35" s="2" t="str">
        <x:v>Yes</x:v>
      </x:c>
    </x:row>
    <x:row r="36" ht="76" customHeight="1">
      <x:c r="A36" s="2" t="str">
        <x:v>S35</x:v>
      </x:c>
      <x:c r="B36" s="2" t="str">
        <x:v>merged_1225</x:v>
      </x:c>
      <x:c r="C36" s="6" t="str">
        <x:v>Tracing Feature Tests to Textual Requirements</x:v>
      </x:c>
      <x:c r="D36" s="2" t="str">
        <x:v>2024</x:v>
      </x:c>
      <x:c r="E36" s="2" t="str">
        <x:v>Published conference paper</x:v>
      </x:c>
      <x:c r="F36" s="2" t="str">
        <x:v>Yes</x:v>
      </x:c>
      <x:c r="G36" s="2" t="str">
        <x:v>No</x:v>
      </x:c>
      <x:c r="H36" s="2" t="str">
        <x:v>No</x:v>
      </x:c>
      <x:c r="I36" s="2" t="str">
        <x:v>No</x:v>
      </x:c>
      <x:c r="J36" s="2" t="str">
        <x:v>No</x:v>
      </x:c>
      <x:c r="K36" s="2" t="str">
        <x:v>No</x:v>
      </x:c>
      <x:c r="L36" s="2" t="str">
        <x:v>No</x:v>
      </x:c>
      <x:c r="M36" s="6" t="str">
        <x:v>No</x:v>
      </x:c>
      <x:c r="N36" s="2" t="str">
        <x:v>No</x:v>
      </x:c>
      <x:c r="O36" s="6" t="str">
        <x:v>No</x:v>
      </x:c>
      <x:c r="P36" s="2" t="str">
        <x:v>No</x:v>
      </x:c>
      <x:c r="Q36" s="2" t="str">
        <x:v>No</x:v>
      </x:c>
      <x:c r="R36" s="2" t="str">
        <x:v>Yes</x:v>
      </x:c>
      <x:c r="S36" s="2" t="str">
        <x:v>No</x:v>
      </x:c>
      <x:c r="T36" s="2" t="str">
        <x:v>No</x:v>
      </x:c>
      <x:c r="U36" s="2" t="str">
        <x:v>Yes</x:v>
      </x:c>
      <x:c r="V36" s="2" t="str">
        <x:v>No</x:v>
      </x:c>
      <x:c r="W36" s="2" t="str">
        <x:v>No</x:v>
      </x:c>
      <x:c r="X36" s="2" t="str">
        <x:v>No</x:v>
      </x:c>
      <x:c r="Y36" s="2" t="str">
        <x:v>No</x:v>
      </x:c>
      <x:c r="Z36" s="2" t="str">
        <x:v>No</x:v>
      </x:c>
      <x:c r="AA36" s="2" t="str">
        <x:v>No</x:v>
      </x:c>
      <x:c r="AB36" s="2" t="str">
        <x:v>No</x:v>
      </x:c>
      <x:c r="AC36" s="2" t="str">
        <x:v>No</x:v>
      </x:c>
    </x:row>
    <x:row r="37" ht="76" customHeight="1">
      <x:c r="A37" s="2" t="str">
        <x:v>S36</x:v>
      </x:c>
      <x:c r="B37" s="2" t="str">
        <x:v>merged_1236</x:v>
      </x:c>
      <x:c r="C37" s="6" t="str">
        <x:v>DDD-Enforcer: An AI-Powered Multi-Agent System for Real-Time Domain-Driven Design Enforcement</x:v>
      </x:c>
      <x:c r="D37" s="2" t="str">
        <x:v>2026</x:v>
      </x:c>
      <x:c r="E37" s="2" t="str">
        <x:v>Published conference paper</x:v>
      </x:c>
      <x:c r="F37" s="2" t="str">
        <x:v>No</x:v>
      </x:c>
      <x:c r="G37" s="2" t="str">
        <x:v>No</x:v>
      </x:c>
      <x:c r="H37" s="2" t="str">
        <x:v>No</x:v>
      </x:c>
      <x:c r="I37" s="2" t="str">
        <x:v>No</x:v>
      </x:c>
      <x:c r="J37" s="2" t="str">
        <x:v>No</x:v>
      </x:c>
      <x:c r="K37" s="2" t="str">
        <x:v>No</x:v>
      </x:c>
      <x:c r="L37" s="2" t="str">
        <x:v>No</x:v>
      </x:c>
      <x:c r="M37" s="6" t="str">
        <x:v>No</x:v>
      </x:c>
      <x:c r="N37" s="2" t="str">
        <x:v>No</x:v>
      </x:c>
      <x:c r="O37" s="6" t="str">
        <x:v>Yes</x:v>
      </x:c>
      <x:c r="P37" s="2" t="str">
        <x:v>No</x:v>
      </x:c>
      <x:c r="Q37" s="2" t="str">
        <x:v>No</x:v>
      </x:c>
      <x:c r="R37" s="2" t="str">
        <x:v>Yes</x:v>
      </x:c>
      <x:c r="S37" s="2" t="str">
        <x:v>No</x:v>
      </x:c>
      <x:c r="T37" s="2" t="str">
        <x:v>No</x:v>
      </x:c>
      <x:c r="U37" s="2" t="str">
        <x:v>Yes</x:v>
      </x:c>
      <x:c r="V37" s="2" t="str">
        <x:v>Yes</x:v>
      </x:c>
      <x:c r="W37" s="2" t="str">
        <x:v>No</x:v>
      </x:c>
      <x:c r="X37" s="2" t="str">
        <x:v>No</x:v>
      </x:c>
      <x:c r="Y37" s="2" t="str">
        <x:v>No</x:v>
      </x:c>
      <x:c r="Z37" s="2" t="str">
        <x:v>No</x:v>
      </x:c>
      <x:c r="AA37" s="2" t="str">
        <x:v>No</x:v>
      </x:c>
      <x:c r="AB37" s="2" t="str">
        <x:v>Yes</x:v>
      </x:c>
      <x:c r="AC37" s="2" t="str">
        <x:v>Yes</x:v>
      </x:c>
    </x:row>
    <x:row r="38" ht="76" customHeight="1">
      <x:c r="A38" s="2" t="str">
        <x:v>S37</x:v>
      </x:c>
      <x:c r="B38" s="2" t="str">
        <x:v>merged_1238</x:v>
      </x:c>
      <x:c r="C38" s="6" t="str">
        <x:v>Iterative Requirements-Driven Business Process Modeling and Verification with Large Language Models</x:v>
      </x:c>
      <x:c r="D38" s="2" t="str">
        <x:v>2026</x:v>
      </x:c>
      <x:c r="E38" s="2" t="str">
        <x:v>Published journal article</x:v>
      </x:c>
      <x:c r="F38" s="2" t="str">
        <x:v>Yes</x:v>
      </x:c>
      <x:c r="G38" s="2" t="str">
        <x:v>Yes</x:v>
      </x:c>
      <x:c r="H38" s="2" t="str">
        <x:v>Yes</x:v>
      </x:c>
      <x:c r="I38" s="2" t="str">
        <x:v>Yes</x:v>
      </x:c>
      <x:c r="J38" s="2" t="str">
        <x:v>Yes</x:v>
      </x:c>
      <x:c r="K38" s="2" t="str">
        <x:v>No</x:v>
      </x:c>
      <x:c r="L38" s="2" t="str">
        <x:v>No</x:v>
      </x:c>
      <x:c r="M38" s="6" t="str">
        <x:v>Yes</x:v>
      </x:c>
      <x:c r="N38" s="2" t="str">
        <x:v>Yes</x:v>
      </x:c>
      <x:c r="O38" s="6" t="str">
        <x:v>No</x:v>
      </x:c>
      <x:c r="P38" s="2" t="str">
        <x:v>No</x:v>
      </x:c>
      <x:c r="Q38" s="2" t="str">
        <x:v>No</x:v>
      </x:c>
      <x:c r="R38" s="2" t="str">
        <x:v>Yes</x:v>
      </x:c>
      <x:c r="S38" s="2" t="str">
        <x:v>No</x:v>
      </x:c>
      <x:c r="T38" s="2" t="str">
        <x:v>No</x:v>
      </x:c>
      <x:c r="U38" s="2" t="str">
        <x:v>No</x:v>
      </x:c>
      <x:c r="V38" s="2" t="str">
        <x:v>No</x:v>
      </x:c>
      <x:c r="W38" s="2" t="str">
        <x:v>Yes</x:v>
      </x:c>
      <x:c r="X38" s="2" t="str">
        <x:v>No</x:v>
      </x:c>
      <x:c r="Y38" s="2" t="str">
        <x:v>No</x:v>
      </x:c>
      <x:c r="Z38" s="2" t="str">
        <x:v>No</x:v>
      </x:c>
      <x:c r="AA38" s="2" t="str">
        <x:v>No</x:v>
      </x:c>
      <x:c r="AB38" s="2" t="str">
        <x:v>No</x:v>
      </x:c>
      <x:c r="AC38" s="2" t="str">
        <x:v>No</x:v>
      </x:c>
    </x:row>
    <x:row r="39" ht="76" customHeight="1">
      <x:c r="A39" s="2" t="str">
        <x:v>S38</x:v>
      </x:c>
      <x:c r="B39" s="2" t="str">
        <x:v>merged_1241</x:v>
      </x:c>
      <x:c r="C39" s="6" t="str">
        <x:v>LusGen: Leveraging LLMs for Safety-Critical Lustre Design and Requirements Traceability</x:v>
      </x:c>
      <x:c r="D39" s="2" t="str">
        <x:v>2026</x:v>
      </x:c>
      <x:c r="E39" s="2" t="str">
        <x:v>Published conference paper</x:v>
      </x:c>
      <x:c r="F39" s="2" t="str">
        <x:v>Yes</x:v>
      </x:c>
      <x:c r="G39" s="2" t="str">
        <x:v>Yes</x:v>
      </x:c>
      <x:c r="H39" s="2" t="str">
        <x:v>No</x:v>
      </x:c>
      <x:c r="I39" s="2" t="str">
        <x:v>Yes</x:v>
      </x:c>
      <x:c r="J39" s="2" t="str">
        <x:v>No</x:v>
      </x:c>
      <x:c r="K39" s="2" t="str">
        <x:v>Yes</x:v>
      </x:c>
      <x:c r="L39" s="2" t="str">
        <x:v>No</x:v>
      </x:c>
      <x:c r="M39" s="6" t="str">
        <x:v>Yes</x:v>
      </x:c>
      <x:c r="N39" s="2" t="str">
        <x:v>No</x:v>
      </x:c>
      <x:c r="O39" s="6" t="str">
        <x:v>No</x:v>
      </x:c>
      <x:c r="P39" s="2" t="str">
        <x:v>No</x:v>
      </x:c>
      <x:c r="Q39" s="2" t="str">
        <x:v>No</x:v>
      </x:c>
      <x:c r="R39" s="2" t="str">
        <x:v>Yes</x:v>
      </x:c>
      <x:c r="S39" s="2" t="str">
        <x:v>Yes</x:v>
      </x:c>
      <x:c r="T39" s="2" t="str">
        <x:v>Yes</x:v>
      </x:c>
      <x:c r="U39" s="2" t="str">
        <x:v>Yes</x:v>
      </x:c>
      <x:c r="V39" s="2" t="str">
        <x:v>Yes</x:v>
      </x:c>
      <x:c r="W39" s="2" t="str">
        <x:v>No</x:v>
      </x:c>
      <x:c r="X39" s="2" t="str">
        <x:v>No</x:v>
      </x:c>
      <x:c r="Y39" s="2" t="str">
        <x:v>No</x:v>
      </x:c>
      <x:c r="Z39" s="2" t="str">
        <x:v>No</x:v>
      </x:c>
      <x:c r="AA39" s="2" t="str">
        <x:v>No</x:v>
      </x:c>
      <x:c r="AB39" s="2" t="str">
        <x:v>No</x:v>
      </x:c>
      <x:c r="AC39" s="2" t="str">
        <x:v>No</x:v>
      </x:c>
    </x:row>
    <x:row r="40" ht="76" customHeight="1">
      <x:c r="A40" s="2" t="str">
        <x:v>S39</x:v>
      </x:c>
      <x:c r="B40" s="2" t="str">
        <x:v>merged_1245</x:v>
      </x:c>
      <x:c r="C40" s="6" t="str">
        <x:v>Smells Like Trouble: Investigating the Impact of Requirements Quality on LLM-Supported Software Engineering</x:v>
      </x:c>
      <x:c r="D40" s="2" t="str">
        <x:v>2025</x:v>
      </x:c>
      <x:c r="E40" s="2" t="str">
        <x:v>Published conference paper</x:v>
      </x:c>
      <x:c r="F40" s="2" t="str">
        <x:v>Yes</x:v>
      </x:c>
      <x:c r="G40" s="2" t="str">
        <x:v>No</x:v>
      </x:c>
      <x:c r="H40" s="2" t="str">
        <x:v>No</x:v>
      </x:c>
      <x:c r="I40" s="2" t="str">
        <x:v>No</x:v>
      </x:c>
      <x:c r="J40" s="2" t="str">
        <x:v>No</x:v>
      </x:c>
      <x:c r="K40" s="2" t="str">
        <x:v>No</x:v>
      </x:c>
      <x:c r="L40" s="2" t="str">
        <x:v>No</x:v>
      </x:c>
      <x:c r="M40" s="6" t="str">
        <x:v>No</x:v>
      </x:c>
      <x:c r="N40" s="2" t="str">
        <x:v>No</x:v>
      </x:c>
      <x:c r="O40" s="6" t="str">
        <x:v>No</x:v>
      </x:c>
      <x:c r="P40" s="2" t="str">
        <x:v>No</x:v>
      </x:c>
      <x:c r="Q40" s="2" t="str">
        <x:v>No</x:v>
      </x:c>
      <x:c r="R40" s="2" t="str">
        <x:v>No</x:v>
      </x:c>
      <x:c r="S40" s="2" t="str">
        <x:v>No</x:v>
      </x:c>
      <x:c r="T40" s="2" t="str">
        <x:v>No</x:v>
      </x:c>
      <x:c r="U40" s="2" t="str">
        <x:v>Yes</x:v>
      </x:c>
      <x:c r="V40" s="2" t="str">
        <x:v>No</x:v>
      </x:c>
      <x:c r="W40" s="2" t="str">
        <x:v>No</x:v>
      </x:c>
      <x:c r="X40" s="2" t="str">
        <x:v>No</x:v>
      </x:c>
      <x:c r="Y40" s="2" t="str">
        <x:v>No</x:v>
      </x:c>
      <x:c r="Z40" s="2" t="str">
        <x:v>No</x:v>
      </x:c>
      <x:c r="AA40" s="2" t="str">
        <x:v>No</x:v>
      </x:c>
      <x:c r="AB40" s="2" t="str">
        <x:v>No</x:v>
      </x:c>
      <x:c r="AC40" s="2" t="str">
        <x:v>No</x:v>
      </x:c>
    </x:row>
    <x:row r="41" ht="76" customHeight="1">
      <x:c r="A41" s="2" t="str">
        <x:v>S40</x:v>
      </x:c>
      <x:c r="B41" s="2" t="str">
        <x:v>merged_1263</x:v>
      </x:c>
      <x:c r="C41" s="6" t="str">
        <x:v>A GraphRAG-Based Dual-Path Structural Diffusion Retrieval Framework for Requirement-Code Traceability Link Recovery</x:v>
      </x:c>
      <x:c r="D41" s="2" t="str">
        <x:v>2026</x:v>
      </x:c>
      <x:c r="E41" s="2" t="str">
        <x:v>Published journal article</x:v>
      </x:c>
      <x:c r="F41" s="2" t="str">
        <x:v>Yes</x:v>
      </x:c>
      <x:c r="G41" s="2" t="str">
        <x:v>Yes</x:v>
      </x:c>
      <x:c r="H41" s="2" t="str">
        <x:v>No</x:v>
      </x:c>
      <x:c r="I41" s="2" t="str">
        <x:v>No</x:v>
      </x:c>
      <x:c r="J41" s="2" t="str">
        <x:v>No</x:v>
      </x:c>
      <x:c r="K41" s="2" t="str">
        <x:v>No</x:v>
      </x:c>
      <x:c r="L41" s="2" t="str">
        <x:v>No</x:v>
      </x:c>
      <x:c r="M41" s="6" t="str">
        <x:v>No</x:v>
      </x:c>
      <x:c r="N41" s="2" t="str">
        <x:v>No</x:v>
      </x:c>
      <x:c r="O41" s="6" t="str">
        <x:v>No</x:v>
      </x:c>
      <x:c r="P41" s="2" t="str">
        <x:v>No</x:v>
      </x:c>
      <x:c r="Q41" s="2" t="str">
        <x:v>No</x:v>
      </x:c>
      <x:c r="R41" s="2" t="str">
        <x:v>No</x:v>
      </x:c>
      <x:c r="S41" s="2" t="str">
        <x:v>No</x:v>
      </x:c>
      <x:c r="T41" s="2" t="str">
        <x:v>Yes</x:v>
      </x:c>
      <x:c r="U41" s="2" t="str">
        <x:v>Yes</x:v>
      </x:c>
      <x:c r="V41" s="2" t="str">
        <x:v>Yes</x:v>
      </x:c>
      <x:c r="W41" s="2" t="str">
        <x:v>Yes</x:v>
      </x:c>
      <x:c r="X41" s="2" t="str">
        <x:v>No</x:v>
      </x:c>
      <x:c r="Y41" s="2" t="str">
        <x:v>No</x:v>
      </x:c>
      <x:c r="Z41" s="2" t="str">
        <x:v>No</x:v>
      </x:c>
      <x:c r="AA41" s="2" t="str">
        <x:v>No</x:v>
      </x:c>
      <x:c r="AB41" s="2" t="str">
        <x:v>Yes</x:v>
      </x:c>
      <x:c r="AC41" s="2" t="str">
        <x:v>No</x:v>
      </x:c>
    </x:row>
    <x:row r="42" ht="76" customHeight="1">
      <x:c r="A42" s="2" t="str">
        <x:v>S41</x:v>
      </x:c>
      <x:c r="B42" s="2" t="str">
        <x:v>merged_1264</x:v>
      </x:c>
      <x:c r="C42" s="6" t="str">
        <x:v>SELink: A semantic-enhanced modular framework for issue–commit link recovery</x:v>
      </x:c>
      <x:c r="D42" s="2" t="str">
        <x:v>2026</x:v>
      </x:c>
      <x:c r="E42" s="2" t="str">
        <x:v>Published journal article</x:v>
      </x:c>
      <x:c r="F42" s="2" t="str">
        <x:v>Yes</x:v>
      </x:c>
      <x:c r="G42" s="2" t="str">
        <x:v>No</x:v>
      </x:c>
      <x:c r="H42" s="2" t="str">
        <x:v>No</x:v>
      </x:c>
      <x:c r="I42" s="2" t="str">
        <x:v>Yes</x:v>
      </x:c>
      <x:c r="J42" s="2" t="str">
        <x:v>Yes</x:v>
      </x:c>
      <x:c r="K42" s="2" t="str">
        <x:v>No</x:v>
      </x:c>
      <x:c r="L42" s="2" t="str">
        <x:v>No</x:v>
      </x:c>
      <x:c r="M42" s="6" t="str">
        <x:v>No</x:v>
      </x:c>
      <x:c r="N42" s="2" t="str">
        <x:v>No</x:v>
      </x:c>
      <x:c r="O42" s="6" t="str">
        <x:v>No</x:v>
      </x:c>
      <x:c r="P42" s="2" t="str">
        <x:v>No</x:v>
      </x:c>
      <x:c r="Q42" s="2" t="str">
        <x:v>No</x:v>
      </x:c>
      <x:c r="R42" s="2" t="str">
        <x:v>Yes</x:v>
      </x:c>
      <x:c r="S42" s="2" t="str">
        <x:v>No</x:v>
      </x:c>
      <x:c r="T42" s="2" t="str">
        <x:v>No</x:v>
      </x:c>
      <x:c r="U42" s="2" t="str">
        <x:v>Yes</x:v>
      </x:c>
      <x:c r="V42" s="2" t="str">
        <x:v>No</x:v>
      </x:c>
      <x:c r="W42" s="2" t="str">
        <x:v>Yes</x:v>
      </x:c>
      <x:c r="X42" s="2" t="str">
        <x:v>No</x:v>
      </x:c>
      <x:c r="Y42" s="2" t="str">
        <x:v>Yes</x:v>
      </x:c>
      <x:c r="Z42" s="2" t="str">
        <x:v>No</x:v>
      </x:c>
      <x:c r="AA42" s="2" t="str">
        <x:v>No</x:v>
      </x:c>
      <x:c r="AB42" s="2" t="str">
        <x:v>No</x:v>
      </x:c>
      <x:c r="AC42" s="2" t="str">
        <x:v>No</x:v>
      </x:c>
    </x:row>
    <x:row r="43" ht="76" customHeight="1">
      <x:c r="A43" s="2" t="str">
        <x:v>S42</x:v>
      </x:c>
      <x:c r="B43" s="2" t="str">
        <x:v>merged_1266</x:v>
      </x:c>
      <x:c r="C43" s="6" t="str">
        <x:v>Requirements Traceability Link Recovery via Retrieval-Augmented Generation</x:v>
      </x:c>
      <x:c r="D43" s="2" t="str">
        <x:v>2025</x:v>
      </x:c>
      <x:c r="E43" s="2" t="str">
        <x:v>Published conference paper</x:v>
      </x:c>
      <x:c r="F43" s="2" t="str">
        <x:v>Yes</x:v>
      </x:c>
      <x:c r="G43" s="2" t="str">
        <x:v>No</x:v>
      </x:c>
      <x:c r="H43" s="2" t="str">
        <x:v>Yes</x:v>
      </x:c>
      <x:c r="I43" s="2" t="str">
        <x:v>No</x:v>
      </x:c>
      <x:c r="J43" s="2" t="str">
        <x:v>No</x:v>
      </x:c>
      <x:c r="K43" s="2" t="str">
        <x:v>No</x:v>
      </x:c>
      <x:c r="L43" s="2" t="str">
        <x:v>No</x:v>
      </x:c>
      <x:c r="M43" s="6" t="str">
        <x:v>Yes</x:v>
      </x:c>
      <x:c r="N43" s="2" t="str">
        <x:v>Yes</x:v>
      </x:c>
      <x:c r="O43" s="6" t="str">
        <x:v>No</x:v>
      </x:c>
      <x:c r="P43" s="2" t="str">
        <x:v>No</x:v>
      </x:c>
      <x:c r="Q43" s="2" t="str">
        <x:v>No</x:v>
      </x:c>
      <x:c r="R43" s="2" t="str">
        <x:v>No</x:v>
      </x:c>
      <x:c r="S43" s="2" t="str">
        <x:v>Yes</x:v>
      </x:c>
      <x:c r="T43" s="2" t="str">
        <x:v>No</x:v>
      </x:c>
      <x:c r="U43" s="2" t="str">
        <x:v>Yes</x:v>
      </x:c>
      <x:c r="V43" s="2" t="str">
        <x:v>Yes</x:v>
      </x:c>
      <x:c r="W43" s="2" t="str">
        <x:v>Yes</x:v>
      </x:c>
      <x:c r="X43" s="2" t="str">
        <x:v>Yes</x:v>
      </x:c>
      <x:c r="Y43" s="2" t="str">
        <x:v>No</x:v>
      </x:c>
      <x:c r="Z43" s="2" t="str">
        <x:v>No</x:v>
      </x:c>
      <x:c r="AA43" s="2" t="str">
        <x:v>No</x:v>
      </x:c>
      <x:c r="AB43" s="2" t="str">
        <x:v>No</x:v>
      </x:c>
      <x:c r="AC43" s="2" t="str">
        <x:v>No</x:v>
      </x:c>
    </x:row>
    <x:row r="44" ht="76" customHeight="1">
      <x:c r="A44" s="2" t="str">
        <x:v>S43</x:v>
      </x:c>
      <x:c r="B44" s="2" t="str">
        <x:v>merged_1270</x:v>
      </x:c>
      <x:c r="C44" s="6" t="str">
        <x:v>HGTRTracer: Advancing Requirements-Code Traceability with LLM-Augmented Attribution Reasoning and Heterogeneous Graph Transformer</x:v>
      </x:c>
      <x:c r="D44" s="2" t="str">
        <x:v>2025</x:v>
      </x:c>
      <x:c r="E44" s="2" t="str">
        <x:v>Published conference paper</x:v>
      </x:c>
      <x:c r="F44" s="2" t="str">
        <x:v>Yes</x:v>
      </x:c>
      <x:c r="G44" s="2" t="str">
        <x:v>Yes</x:v>
      </x:c>
      <x:c r="H44" s="2" t="str">
        <x:v>No</x:v>
      </x:c>
      <x:c r="I44" s="2" t="str">
        <x:v>No</x:v>
      </x:c>
      <x:c r="J44" s="2" t="str">
        <x:v>No</x:v>
      </x:c>
      <x:c r="K44" s="2" t="str">
        <x:v>No</x:v>
      </x:c>
      <x:c r="L44" s="2" t="str">
        <x:v>No</x:v>
      </x:c>
      <x:c r="M44" s="6" t="str">
        <x:v>No</x:v>
      </x:c>
      <x:c r="N44" s="2" t="str">
        <x:v>No</x:v>
      </x:c>
      <x:c r="O44" s="6" t="str">
        <x:v>No</x:v>
      </x:c>
      <x:c r="P44" s="2" t="str">
        <x:v>No</x:v>
      </x:c>
      <x:c r="Q44" s="2" t="str">
        <x:v>No</x:v>
      </x:c>
      <x:c r="R44" s="2" t="str">
        <x:v>Yes</x:v>
      </x:c>
      <x:c r="S44" s="2" t="str">
        <x:v>Yes</x:v>
      </x:c>
      <x:c r="T44" s="2" t="str">
        <x:v>No</x:v>
      </x:c>
      <x:c r="U44" s="2" t="str">
        <x:v>Yes</x:v>
      </x:c>
      <x:c r="V44" s="2" t="str">
        <x:v>Yes</x:v>
      </x:c>
      <x:c r="W44" s="2" t="str">
        <x:v>No</x:v>
      </x:c>
      <x:c r="X44" s="2" t="str">
        <x:v>No</x:v>
      </x:c>
      <x:c r="Y44" s="2" t="str">
        <x:v>No</x:v>
      </x:c>
      <x:c r="Z44" s="2" t="str">
        <x:v>No</x:v>
      </x:c>
      <x:c r="AA44" s="2" t="str">
        <x:v>No</x:v>
      </x:c>
      <x:c r="AB44" s="2" t="str">
        <x:v>No</x:v>
      </x:c>
      <x:c r="AC44" s="2" t="str">
        <x:v>No</x:v>
      </x:c>
    </x:row>
    <x:row r="45" ht="76" customHeight="1">
      <x:c r="A45" s="2" t="str">
        <x:v>S44</x:v>
      </x:c>
      <x:c r="B45" s="2" t="str">
        <x:v>merged_1274</x:v>
      </x:c>
      <x:c r="C45" s="6" t="str">
        <x:v>Enhancing Requirement-to-Code Traceability via Chain-of-Thought Prompting in Large Language Models</x:v>
      </x:c>
      <x:c r="D45" s="2" t="str">
        <x:v>2025</x:v>
      </x:c>
      <x:c r="E45" s="2" t="str">
        <x:v>Published conference paper</x:v>
      </x:c>
      <x:c r="F45" s="2" t="str">
        <x:v>Yes</x:v>
      </x:c>
      <x:c r="G45" s="2" t="str">
        <x:v>No</x:v>
      </x:c>
      <x:c r="H45" s="2" t="str">
        <x:v>Yes</x:v>
      </x:c>
      <x:c r="I45" s="2" t="str">
        <x:v>No</x:v>
      </x:c>
      <x:c r="J45" s="2" t="str">
        <x:v>No</x:v>
      </x:c>
      <x:c r="K45" s="2" t="str">
        <x:v>No</x:v>
      </x:c>
      <x:c r="L45" s="2" t="str">
        <x:v>No</x:v>
      </x:c>
      <x:c r="M45" s="6" t="str">
        <x:v>No</x:v>
      </x:c>
      <x:c r="N45" s="2" t="str">
        <x:v>No</x:v>
      </x:c>
      <x:c r="O45" s="6" t="str">
        <x:v>No</x:v>
      </x:c>
      <x:c r="P45" s="2" t="str">
        <x:v>No</x:v>
      </x:c>
      <x:c r="Q45" s="2" t="str">
        <x:v>No</x:v>
      </x:c>
      <x:c r="R45" s="2" t="str">
        <x:v>No</x:v>
      </x:c>
      <x:c r="S45" s="2" t="str">
        <x:v>No</x:v>
      </x:c>
      <x:c r="T45" s="2" t="str">
        <x:v>No</x:v>
      </x:c>
      <x:c r="U45" s="2" t="str">
        <x:v>Yes</x:v>
      </x:c>
      <x:c r="V45" s="2" t="str">
        <x:v>Yes</x:v>
      </x:c>
      <x:c r="W45" s="2" t="str">
        <x:v>No</x:v>
      </x:c>
      <x:c r="X45" s="2" t="str">
        <x:v>No</x:v>
      </x:c>
      <x:c r="Y45" s="2" t="str">
        <x:v>No</x:v>
      </x:c>
      <x:c r="Z45" s="2" t="str">
        <x:v>No</x:v>
      </x:c>
      <x:c r="AA45" s="2" t="str">
        <x:v>No</x:v>
      </x:c>
      <x:c r="AB45" s="2" t="str">
        <x:v>Yes</x:v>
      </x:c>
      <x:c r="AC45" s="2" t="str">
        <x:v>No</x:v>
      </x:c>
    </x:row>
    <x:row r="46" ht="76" customHeight="1">
      <x:c r="A46" s="2" t="str">
        <x:v>S45</x:v>
      </x:c>
      <x:c r="B46" s="2" t="str">
        <x:v>merged_1275</x:v>
      </x:c>
      <x:c r="C46" s="6" t="str">
        <x:v>Evaluating the Capabilities of LLMs in Traceability Maintenance for Automotive System and Software Requirements</x:v>
      </x:c>
      <x:c r="D46" s="2" t="str">
        <x:v>2025</x:v>
      </x:c>
      <x:c r="E46" s="2" t="str">
        <x:v>Published workshop paper</x:v>
      </x:c>
      <x:c r="F46" s="2" t="str">
        <x:v>Yes</x:v>
      </x:c>
      <x:c r="G46" s="2" t="str">
        <x:v>No</x:v>
      </x:c>
      <x:c r="H46" s="2" t="str">
        <x:v>No</x:v>
      </x:c>
      <x:c r="I46" s="2" t="str">
        <x:v>No</x:v>
      </x:c>
      <x:c r="J46" s="2" t="str">
        <x:v>No</x:v>
      </x:c>
      <x:c r="K46" s="2" t="str">
        <x:v>No</x:v>
      </x:c>
      <x:c r="L46" s="2" t="str">
        <x:v>No</x:v>
      </x:c>
      <x:c r="M46" s="6" t="str">
        <x:v>Yes</x:v>
      </x:c>
      <x:c r="N46" s="2" t="str">
        <x:v>No</x:v>
      </x:c>
      <x:c r="O46" s="6" t="str">
        <x:v>No</x:v>
      </x:c>
      <x:c r="P46" s="2" t="str">
        <x:v>No</x:v>
      </x:c>
      <x:c r="Q46" s="2" t="str">
        <x:v>No</x:v>
      </x:c>
      <x:c r="R46" s="2" t="str">
        <x:v>Yes</x:v>
      </x:c>
      <x:c r="S46" s="2" t="str">
        <x:v>No</x:v>
      </x:c>
      <x:c r="T46" s="2" t="str">
        <x:v>No</x:v>
      </x:c>
      <x:c r="U46" s="2" t="str">
        <x:v>No</x:v>
      </x:c>
      <x:c r="V46" s="2" t="str">
        <x:v>Yes</x:v>
      </x:c>
      <x:c r="W46" s="2" t="str">
        <x:v>No</x:v>
      </x:c>
      <x:c r="X46" s="2" t="str">
        <x:v>No</x:v>
      </x:c>
      <x:c r="Y46" s="2" t="str">
        <x:v>Yes</x:v>
      </x:c>
      <x:c r="Z46" s="2" t="str">
        <x:v>No</x:v>
      </x:c>
      <x:c r="AA46" s="2" t="str">
        <x:v>No</x:v>
      </x:c>
      <x:c r="AB46" s="2" t="str">
        <x:v>No</x:v>
      </x:c>
      <x:c r="AC46" s="2" t="str">
        <x:v>No</x:v>
      </x:c>
    </x:row>
    <x:row r="47" ht="76" customHeight="1">
      <x:c r="A47" s="2" t="str">
        <x:v>S46</x:v>
      </x:c>
      <x:c r="B47" s="2" t="str">
        <x:v>merged_1293</x:v>
      </x:c>
      <x:c r="C47" s="6" t="str">
        <x:v>Improving software development traceability with structured prompting</x:v>
      </x:c>
      <x:c r="D47" s="2" t="str">
        <x:v>2025</x:v>
      </x:c>
      <x:c r="E47" s="2" t="str">
        <x:v>Published journal article</x:v>
      </x:c>
      <x:c r="F47" s="2" t="str">
        <x:v>Yes</x:v>
      </x:c>
      <x:c r="G47" s="2" t="str">
        <x:v>Yes</x:v>
      </x:c>
      <x:c r="H47" s="2" t="str">
        <x:v>No</x:v>
      </x:c>
      <x:c r="I47" s="2" t="str">
        <x:v>No</x:v>
      </x:c>
      <x:c r="J47" s="2" t="str">
        <x:v>No</x:v>
      </x:c>
      <x:c r="K47" s="2" t="str">
        <x:v>No</x:v>
      </x:c>
      <x:c r="L47" s="2" t="str">
        <x:v>No</x:v>
      </x:c>
      <x:c r="M47" s="6" t="str">
        <x:v>No</x:v>
      </x:c>
      <x:c r="N47" s="2" t="str">
        <x:v>No</x:v>
      </x:c>
      <x:c r="O47" s="6" t="str">
        <x:v>No</x:v>
      </x:c>
      <x:c r="P47" s="2" t="str">
        <x:v>No</x:v>
      </x:c>
      <x:c r="Q47" s="2" t="str">
        <x:v>No</x:v>
      </x:c>
      <x:c r="R47" s="2" t="str">
        <x:v>Yes</x:v>
      </x:c>
      <x:c r="S47" s="2" t="str">
        <x:v>No</x:v>
      </x:c>
      <x:c r="T47" s="2" t="str">
        <x:v>Yes</x:v>
      </x:c>
      <x:c r="U47" s="2" t="str">
        <x:v>No</x:v>
      </x:c>
      <x:c r="V47" s="2" t="str">
        <x:v>Yes</x:v>
      </x:c>
      <x:c r="W47" s="2" t="str">
        <x:v>No</x:v>
      </x:c>
      <x:c r="X47" s="2" t="str">
        <x:v>No</x:v>
      </x:c>
      <x:c r="Y47" s="2" t="str">
        <x:v>No</x:v>
      </x:c>
      <x:c r="Z47" s="2" t="str">
        <x:v>No</x:v>
      </x:c>
      <x:c r="AA47" s="2" t="str">
        <x:v>No</x:v>
      </x:c>
      <x:c r="AB47" s="2" t="str">
        <x:v>No</x:v>
      </x:c>
      <x:c r="AC47" s="2" t="str">
        <x:v>No</x:v>
      </x:c>
    </x:row>
    <x:row r="48" ht="76" customHeight="1">
      <x:c r="A48" s="2" t="str">
        <x:v>S47</x:v>
      </x:c>
      <x:c r="B48" s="2" t="str">
        <x:v>merged_1302</x:v>
      </x:c>
      <x:c r="C48" s="6" t="str">
        <x:v>SpecMap: Hierarchical LLM Agent for Datasheet-to-Code Traceability Link Recovery in Systems Engineering</x:v>
      </x:c>
      <x:c r="D48" s="2" t="str">
        <x:v>2026</x:v>
      </x:c>
      <x:c r="E48" s="2" t="str">
        <x:v>Preprint</x:v>
      </x:c>
      <x:c r="F48" s="2" t="str">
        <x:v>No</x:v>
      </x:c>
      <x:c r="G48" s="2" t="str">
        <x:v>No</x:v>
      </x:c>
      <x:c r="H48" s="2" t="str">
        <x:v>No</x:v>
      </x:c>
      <x:c r="I48" s="2" t="str">
        <x:v>No</x:v>
      </x:c>
      <x:c r="J48" s="2" t="str">
        <x:v>No</x:v>
      </x:c>
      <x:c r="K48" s="2" t="str">
        <x:v>No</x:v>
      </x:c>
      <x:c r="L48" s="2" t="str">
        <x:v>No</x:v>
      </x:c>
      <x:c r="M48" s="6" t="str">
        <x:v>Yes</x:v>
      </x:c>
      <x:c r="N48" s="2" t="str">
        <x:v>No</x:v>
      </x:c>
      <x:c r="O48" s="6" t="str">
        <x:v>Yes</x:v>
      </x:c>
      <x:c r="P48" s="2" t="str">
        <x:v>No</x:v>
      </x:c>
      <x:c r="Q48" s="2" t="str">
        <x:v>No</x:v>
      </x:c>
      <x:c r="R48" s="2" t="str">
        <x:v>Yes</x:v>
      </x:c>
      <x:c r="S48" s="2" t="str">
        <x:v>Yes</x:v>
      </x:c>
      <x:c r="T48" s="2" t="str">
        <x:v>No</x:v>
      </x:c>
      <x:c r="U48" s="2" t="str">
        <x:v>Yes</x:v>
      </x:c>
      <x:c r="V48" s="2" t="str">
        <x:v>Yes</x:v>
      </x:c>
      <x:c r="W48" s="2" t="str">
        <x:v>No</x:v>
      </x:c>
      <x:c r="X48" s="2" t="str">
        <x:v>No</x:v>
      </x:c>
      <x:c r="Y48" s="2" t="str">
        <x:v>No</x:v>
      </x:c>
      <x:c r="Z48" s="2" t="str">
        <x:v>No</x:v>
      </x:c>
      <x:c r="AA48" s="2" t="str">
        <x:v>No</x:v>
      </x:c>
      <x:c r="AB48" s="2" t="str">
        <x:v>No</x:v>
      </x:c>
      <x:c r="AC48" s="2" t="str">
        <x:v>No</x:v>
      </x:c>
    </x:row>
    <x:row r="49" ht="76" customHeight="1">
      <x:c r="A49" s="2" t="str">
        <x:v>S48</x:v>
      </x:c>
      <x:c r="B49" s="2" t="str">
        <x:v>merged_1441</x:v>
      </x:c>
      <x:c r="C49" s="6" t="str">
        <x:v>LHGLink: LLM—Enhanced Heterogeneous Graph Learning for Issue–Issue Link Prediction</x:v>
      </x:c>
      <x:c r="D49" s="2" t="str">
        <x:v>2026</x:v>
      </x:c>
      <x:c r="E49" s="2" t="str">
        <x:v>Published journal article</x:v>
      </x:c>
      <x:c r="F49" s="2" t="str">
        <x:v>Yes</x:v>
      </x:c>
      <x:c r="G49" s="2" t="str">
        <x:v>No</x:v>
      </x:c>
      <x:c r="H49" s="2" t="str">
        <x:v>No</x:v>
      </x:c>
      <x:c r="I49" s="2" t="str">
        <x:v>No</x:v>
      </x:c>
      <x:c r="J49" s="2" t="str">
        <x:v>No</x:v>
      </x:c>
      <x:c r="K49" s="2" t="str">
        <x:v>No</x:v>
      </x:c>
      <x:c r="L49" s="2" t="str">
        <x:v>Yes</x:v>
      </x:c>
      <x:c r="M49" s="6" t="str">
        <x:v>No</x:v>
      </x:c>
      <x:c r="N49" s="2" t="str">
        <x:v>No</x:v>
      </x:c>
      <x:c r="O49" s="6" t="str">
        <x:v>No</x:v>
      </x:c>
      <x:c r="P49" s="2" t="str">
        <x:v>No</x:v>
      </x:c>
      <x:c r="Q49" s="2" t="str">
        <x:v>Yes</x:v>
      </x:c>
      <x:c r="R49" s="2" t="str">
        <x:v>Yes</x:v>
      </x:c>
      <x:c r="S49" s="2" t="str">
        <x:v>Yes</x:v>
      </x:c>
      <x:c r="T49" s="2" t="str">
        <x:v>No</x:v>
      </x:c>
      <x:c r="U49" s="2" t="str">
        <x:v>Yes</x:v>
      </x:c>
      <x:c r="V49" s="2" t="str">
        <x:v>Yes</x:v>
      </x:c>
      <x:c r="W49" s="2" t="str">
        <x:v>Yes</x:v>
      </x:c>
      <x:c r="X49" s="2" t="str">
        <x:v>No</x:v>
      </x:c>
      <x:c r="Y49" s="2" t="str">
        <x:v>No</x:v>
      </x:c>
      <x:c r="Z49" s="2" t="str">
        <x:v>No</x:v>
      </x:c>
      <x:c r="AA49" s="2" t="str">
        <x:v>No</x:v>
      </x:c>
      <x:c r="AB49" s="2" t="str">
        <x:v>Yes</x:v>
      </x:c>
      <x:c r="AC49" s="2" t="str">
        <x:v>Yes</x:v>
      </x:c>
    </x:row>
    <x:row r="50" ht="76" customHeight="1">
      <x:c r="A50" s="2" t="str">
        <x:v>S49</x:v>
      </x:c>
      <x:c r="B50" s="2" t="str">
        <x:v>merged_1486</x:v>
      </x:c>
      <x:c r="C50" s="6" t="str">
        <x:v>Requirements Engineering Using Generative AI: Prompts and Prompting Patterns</x:v>
      </x:c>
      <x:c r="D50" s="2" t="str">
        <x:v>2024</x:v>
      </x:c>
      <x:c r="E50" s="2" t="str">
        <x:v>Published conference paper</x:v>
      </x:c>
      <x:c r="F50" s="2" t="str">
        <x:v>Yes</x:v>
      </x:c>
      <x:c r="G50" s="2" t="str">
        <x:v>Yes</x:v>
      </x:c>
      <x:c r="H50" s="2" t="str">
        <x:v>Yes</x:v>
      </x:c>
      <x:c r="I50" s="2" t="str">
        <x:v>No</x:v>
      </x:c>
      <x:c r="J50" s="2" t="str">
        <x:v>No</x:v>
      </x:c>
      <x:c r="K50" s="2" t="str">
        <x:v>Yes</x:v>
      </x:c>
      <x:c r="L50" s="2" t="str">
        <x:v>Yes</x:v>
      </x:c>
      <x:c r="M50" s="6" t="str">
        <x:v>No</x:v>
      </x:c>
      <x:c r="N50" s="2" t="str">
        <x:v>No</x:v>
      </x:c>
      <x:c r="O50" s="6" t="str">
        <x:v>No</x:v>
      </x:c>
      <x:c r="P50" s="2" t="str">
        <x:v>No</x:v>
      </x:c>
      <x:c r="Q50" s="2" t="str">
        <x:v>No</x:v>
      </x:c>
      <x:c r="R50" s="2" t="str">
        <x:v>Yes</x:v>
      </x:c>
      <x:c r="S50" s="2" t="str">
        <x:v>No</x:v>
      </x:c>
      <x:c r="T50" s="2" t="str">
        <x:v>No</x:v>
      </x:c>
      <x:c r="U50" s="2" t="str">
        <x:v>Yes</x:v>
      </x:c>
      <x:c r="V50" s="2" t="str">
        <x:v>Yes</x:v>
      </x:c>
      <x:c r="W50" s="2" t="str">
        <x:v>No</x:v>
      </x:c>
      <x:c r="X50" s="2" t="str">
        <x:v>No</x:v>
      </x:c>
      <x:c r="Y50" s="2" t="str">
        <x:v>Yes</x:v>
      </x:c>
      <x:c r="Z50" s="2" t="str">
        <x:v>No</x:v>
      </x:c>
      <x:c r="AA50" s="2" t="str">
        <x:v>No</x:v>
      </x:c>
      <x:c r="AB50" s="2" t="str">
        <x:v>No</x:v>
      </x:c>
      <x:c r="AC50" s="2" t="str">
        <x:v>No</x:v>
      </x:c>
    </x:row>
    <x:row r="51" ht="76" customHeight="1">
      <x:c r="A51" s="2" t="str">
        <x:v>S50</x:v>
      </x:c>
      <x:c r="B51" s="2" t="str">
        <x:v>snowball_00068</x:v>
      </x:c>
      <x:c r="C51" s="6" t="str">
        <x:v>Leveraging LLMs and Knowledge Graphs to Design Secure Automation Systems</x:v>
      </x:c>
      <x:c r="D51" s="2" t="str">
        <x:v>2025</x:v>
      </x:c>
      <x:c r="E51" s="2" t="str">
        <x:v>Published conference paper</x:v>
      </x:c>
      <x:c r="F51" s="2" t="str">
        <x:v>Yes</x:v>
      </x:c>
      <x:c r="G51" s="2" t="str">
        <x:v>No</x:v>
      </x:c>
      <x:c r="H51" s="2" t="str">
        <x:v>No</x:v>
      </x:c>
      <x:c r="I51" s="2" t="str">
        <x:v>Yes</x:v>
      </x:c>
      <x:c r="J51" s="2" t="str">
        <x:v>Yes</x:v>
      </x:c>
      <x:c r="K51" s="2" t="str">
        <x:v>No</x:v>
      </x:c>
      <x:c r="L51" s="2" t="str">
        <x:v>No</x:v>
      </x:c>
      <x:c r="M51" s="6" t="str">
        <x:v>Yes</x:v>
      </x:c>
      <x:c r="N51" s="2" t="str">
        <x:v>Yes</x:v>
      </x:c>
      <x:c r="O51" s="6" t="str">
        <x:v>No</x:v>
      </x:c>
      <x:c r="P51" s="2" t="str">
        <x:v>No</x:v>
      </x:c>
      <x:c r="Q51" s="2" t="str">
        <x:v>No</x:v>
      </x:c>
      <x:c r="R51" s="2" t="str">
        <x:v>Yes</x:v>
      </x:c>
      <x:c r="S51" s="2" t="str">
        <x:v>Yes</x:v>
      </x:c>
      <x:c r="T51" s="2" t="str">
        <x:v>No</x:v>
      </x:c>
      <x:c r="U51" s="2" t="str">
        <x:v>Yes</x:v>
      </x:c>
      <x:c r="V51" s="2" t="str">
        <x:v>Yes</x:v>
      </x:c>
      <x:c r="W51" s="2" t="str">
        <x:v>No</x:v>
      </x:c>
      <x:c r="X51" s="2" t="str">
        <x:v>No</x:v>
      </x:c>
      <x:c r="Y51" s="2" t="str">
        <x:v>No</x:v>
      </x:c>
      <x:c r="Z51" s="2" t="str">
        <x:v>Yes</x:v>
      </x:c>
      <x:c r="AA51" s="2" t="str">
        <x:v>No</x:v>
      </x:c>
      <x:c r="AB51" s="2" t="str">
        <x:v>No</x:v>
      </x:c>
      <x:c r="AC51" s="2" t="str">
        <x:v>Yes</x:v>
      </x:c>
    </x:row>
    <x:row r="52" ht="76" customHeight="1">
      <x:c r="A52" s="2" t="str">
        <x:v>S51</x:v>
      </x:c>
      <x:c r="B52" s="2" t="str">
        <x:v>snowball_00085</x:v>
      </x:c>
      <x:c r="C52" s="6" t="str">
        <x:v>Exploring LLMs for Verifying Technical System Specifications Against Requirements</x:v>
      </x:c>
      <x:c r="D52" s="2" t="str">
        <x:v>2024</x:v>
      </x:c>
      <x:c r="E52" s="2" t="str">
        <x:v>Published conference paper</x:v>
      </x:c>
      <x:c r="F52" s="2" t="str">
        <x:v>Yes</x:v>
      </x:c>
      <x:c r="G52" s="2" t="str">
        <x:v>No</x:v>
      </x:c>
      <x:c r="H52" s="2" t="str">
        <x:v>Yes</x:v>
      </x:c>
      <x:c r="I52" s="2" t="str">
        <x:v>Yes</x:v>
      </x:c>
      <x:c r="J52" s="2" t="str">
        <x:v>No</x:v>
      </x:c>
      <x:c r="K52" s="2" t="str">
        <x:v>No</x:v>
      </x:c>
      <x:c r="L52" s="2" t="str">
        <x:v>No</x:v>
      </x:c>
      <x:c r="M52" s="6" t="str">
        <x:v>No</x:v>
      </x:c>
      <x:c r="N52" s="2" t="str">
        <x:v>No</x:v>
      </x:c>
      <x:c r="O52" s="6" t="str">
        <x:v>No</x:v>
      </x:c>
      <x:c r="P52" s="2" t="str">
        <x:v>No</x:v>
      </x:c>
      <x:c r="Q52" s="2" t="str">
        <x:v>No</x:v>
      </x:c>
      <x:c r="R52" s="2" t="str">
        <x:v>Yes</x:v>
      </x:c>
      <x:c r="S52" s="2" t="str">
        <x:v>No</x:v>
      </x:c>
      <x:c r="T52" s="2" t="str">
        <x:v>Yes</x:v>
      </x:c>
      <x:c r="U52" s="2" t="str">
        <x:v>Yes</x:v>
      </x:c>
      <x:c r="V52" s="2" t="str">
        <x:v>No</x:v>
      </x:c>
      <x:c r="W52" s="2" t="str">
        <x:v>No</x:v>
      </x:c>
      <x:c r="X52" s="2" t="str">
        <x:v>No</x:v>
      </x:c>
      <x:c r="Y52" s="2" t="str">
        <x:v>Yes</x:v>
      </x:c>
      <x:c r="Z52" s="2" t="str">
        <x:v>No</x:v>
      </x:c>
      <x:c r="AA52" s="2" t="str">
        <x:v>No</x:v>
      </x:c>
      <x:c r="AB52" s="2" t="str">
        <x:v>No</x:v>
      </x:c>
      <x:c r="AC52" s="2" t="str">
        <x:v>No</x:v>
      </x:c>
    </x:row>
    <x:row r="53" ht="76" customHeight="1">
      <x:c r="A53" s="2" t="str">
        <x:v>S52</x:v>
      </x:c>
      <x:c r="B53" s="2" t="str">
        <x:v>snowball_00095</x:v>
      </x:c>
      <x:c r="C53" s="6" t="str">
        <x:v>Supporting Software Maintenance with Dynamically Generated Document Hierarchies</x:v>
      </x:c>
      <x:c r="D53" s="2" t="str">
        <x:v>2024</x:v>
      </x:c>
      <x:c r="E53" s="2" t="str">
        <x:v>Published conference paper</x:v>
      </x:c>
      <x:c r="F53" s="2" t="str">
        <x:v>Yes</x:v>
      </x:c>
      <x:c r="G53" s="2" t="str">
        <x:v>No</x:v>
      </x:c>
      <x:c r="H53" s="2" t="str">
        <x:v>No</x:v>
      </x:c>
      <x:c r="I53" s="2" t="str">
        <x:v>Yes</x:v>
      </x:c>
      <x:c r="J53" s="2" t="str">
        <x:v>No</x:v>
      </x:c>
      <x:c r="K53" s="2" t="str">
        <x:v>No</x:v>
      </x:c>
      <x:c r="L53" s="2" t="str">
        <x:v>Yes</x:v>
      </x:c>
      <x:c r="M53" s="6" t="str">
        <x:v>Yes</x:v>
      </x:c>
      <x:c r="N53" s="2" t="str">
        <x:v>No</x:v>
      </x:c>
      <x:c r="O53" s="6" t="str">
        <x:v>No</x:v>
      </x:c>
      <x:c r="P53" s="2" t="str">
        <x:v>No</x:v>
      </x:c>
      <x:c r="Q53" s="2" t="str">
        <x:v>No</x:v>
      </x:c>
      <x:c r="R53" s="2" t="str">
        <x:v>Yes</x:v>
      </x:c>
      <x:c r="S53" s="2" t="str">
        <x:v>No</x:v>
      </x:c>
      <x:c r="T53" s="2" t="str">
        <x:v>No</x:v>
      </x:c>
      <x:c r="U53" s="2" t="str">
        <x:v>Yes</x:v>
      </x:c>
      <x:c r="V53" s="2" t="str">
        <x:v>No</x:v>
      </x:c>
      <x:c r="W53" s="2" t="str">
        <x:v>No</x:v>
      </x:c>
      <x:c r="X53" s="2" t="str">
        <x:v>No</x:v>
      </x:c>
      <x:c r="Y53" s="2" t="str">
        <x:v>No</x:v>
      </x:c>
      <x:c r="Z53" s="2" t="str">
        <x:v>Yes</x:v>
      </x:c>
      <x:c r="AA53" s="2" t="str">
        <x:v>No</x:v>
      </x:c>
      <x:c r="AB53" s="2" t="str">
        <x:v>No</x:v>
      </x:c>
      <x:c r="AC53" s="2" t="str">
        <x:v>No</x:v>
      </x:c>
    </x:row>
    <x:row r="54" ht="76" customHeight="1">
      <x:c r="A54" s="2" t="str">
        <x:v>S53</x:v>
      </x:c>
      <x:c r="B54" s="2" t="str">
        <x:v>merged_1229</x:v>
      </x:c>
      <x:c r="C54" s="6" t="str">
        <x:v>Evaluating LLMs for Automated Requirement and Test Case Generation in Railway Signaling Systems</x:v>
      </x:c>
      <x:c r="D54" s="2" t="str">
        <x:v>2025</x:v>
      </x:c>
      <x:c r="E54" s="2" t="str">
        <x:v>Published conference paper</x:v>
      </x:c>
      <x:c r="F54" s="2" t="str">
        <x:v>Yes</x:v>
      </x:c>
      <x:c r="G54" s="2" t="str">
        <x:v>No</x:v>
      </x:c>
      <x:c r="H54" s="2" t="str">
        <x:v>No</x:v>
      </x:c>
      <x:c r="I54" s="2" t="str">
        <x:v>Yes</x:v>
      </x:c>
      <x:c r="J54" s="2" t="str">
        <x:v>Yes</x:v>
      </x:c>
      <x:c r="K54" s="2" t="str">
        <x:v>No</x:v>
      </x:c>
      <x:c r="L54" s="2" t="str">
        <x:v>Yes</x:v>
      </x:c>
      <x:c r="M54" s="6" t="str">
        <x:v>No</x:v>
      </x:c>
      <x:c r="N54" s="2" t="str">
        <x:v>No</x:v>
      </x:c>
      <x:c r="O54" s="6" t="str">
        <x:v>No</x:v>
      </x:c>
      <x:c r="P54" s="2" t="str">
        <x:v>No</x:v>
      </x:c>
      <x:c r="Q54" s="2" t="str">
        <x:v>No</x:v>
      </x:c>
      <x:c r="R54" s="2" t="str">
        <x:v>Yes</x:v>
      </x:c>
      <x:c r="S54" s="2" t="str">
        <x:v>No</x:v>
      </x:c>
      <x:c r="T54" s="2" t="str">
        <x:v>No</x:v>
      </x:c>
      <x:c r="U54" s="2" t="str">
        <x:v>Yes</x:v>
      </x:c>
      <x:c r="V54" s="2" t="str">
        <x:v>Yes</x:v>
      </x:c>
      <x:c r="W54" s="2" t="str">
        <x:v>No</x:v>
      </x:c>
      <x:c r="X54" s="2" t="str">
        <x:v>No</x:v>
      </x:c>
      <x:c r="Y54" s="2" t="str">
        <x:v>No</x:v>
      </x:c>
      <x:c r="Z54" s="2" t="str">
        <x:v>No</x:v>
      </x:c>
      <x:c r="AA54" s="2" t="str">
        <x:v>No</x:v>
      </x:c>
      <x:c r="AB54" s="2" t="str">
        <x:v>No</x:v>
      </x:c>
      <x:c r="AC54" s="2" t="str">
        <x:v>No</x:v>
      </x:c>
    </x:row>
    <x:row r="55" ht="76" customHeight="1">
      <x:c r="A55" s="2" t="str">
        <x:v>G1</x:v>
      </x:c>
      <x:c r="B55" s="2" t="str">
        <x:v>G1</x:v>
      </x:c>
      <x:c r="C55" s="6" t="str">
        <x:v>Create Requirement Traceability Matrix in Seconds with ChatGPT</x:v>
      </x:c>
      <x:c r="D55" s="2" t="str">
        <x:v>2023</x:v>
      </x:c>
      <x:c r="E55" s="2" t="str">
        <x:v>Grey literature</x:v>
      </x:c>
      <x:c r="F55" s="2" t="str">
        <x:v>Yes</x:v>
      </x:c>
      <x:c r="G55" s="2" t="str">
        <x:v>No</x:v>
      </x:c>
      <x:c r="H55" s="2" t="str">
        <x:v>No</x:v>
      </x:c>
      <x:c r="I55" s="2" t="str">
        <x:v>No</x:v>
      </x:c>
      <x:c r="J55" s="2" t="str">
        <x:v>No</x:v>
      </x:c>
      <x:c r="K55" s="2" t="str">
        <x:v>No</x:v>
      </x:c>
      <x:c r="L55" s="2" t="str">
        <x:v>Yes</x:v>
      </x:c>
      <x:c r="M55" s="6" t="str">
        <x:v>Yes</x:v>
      </x:c>
      <x:c r="N55" s="2" t="str">
        <x:v>No</x:v>
      </x:c>
      <x:c r="O55" s="6" t="str">
        <x:v>No</x:v>
      </x:c>
      <x:c r="P55" s="2" t="str">
        <x:v>No</x:v>
      </x:c>
      <x:c r="Q55" s="2" t="str">
        <x:v>No</x:v>
      </x:c>
      <x:c r="R55" s="2" t="str">
        <x:v>Yes</x:v>
      </x:c>
      <x:c r="S55" s="2" t="str">
        <x:v>No</x:v>
      </x:c>
      <x:c r="T55" s="2" t="str">
        <x:v>No</x:v>
      </x:c>
      <x:c r="U55" s="2" t="str">
        <x:v>No</x:v>
      </x:c>
      <x:c r="V55" s="2" t="str">
        <x:v>No</x:v>
      </x:c>
      <x:c r="W55" s="2" t="str">
        <x:v>No</x:v>
      </x:c>
      <x:c r="X55" s="2" t="str">
        <x:v>No</x:v>
      </x:c>
      <x:c r="Y55" s="2" t="str">
        <x:v>No</x:v>
      </x:c>
      <x:c r="Z55" s="2" t="str">
        <x:v>No</x:v>
      </x:c>
      <x:c r="AA55" s="2" t="str">
        <x:v>No</x:v>
      </x:c>
      <x:c r="AB55" s="2" t="str">
        <x:v>No</x:v>
      </x:c>
      <x:c r="AC55" s="2" t="str">
        <x:v>No</x:v>
      </x:c>
    </x:row>
    <x:row r="56" ht="76" customHeight="1">
      <x:c r="A56" s="2" t="str">
        <x:v>G2</x:v>
      </x:c>
      <x:c r="B56" s="2" t="str">
        <x:v>G2</x:v>
      </x:c>
      <x:c r="C56" s="6" t="str">
        <x:v>Traceability and AI for Better Understanding, Communication, and QC of Trials</x:v>
      </x:c>
      <x:c r="D56" s="2" t="str">
        <x:v>2024</x:v>
      </x:c>
      <x:c r="E56" s="2" t="str">
        <x:v>Grey literature</x:v>
      </x:c>
      <x:c r="F56" s="2" t="str">
        <x:v>Yes</x:v>
      </x:c>
      <x:c r="G56" s="2" t="str">
        <x:v>No</x:v>
      </x:c>
      <x:c r="H56" s="2" t="str">
        <x:v>No</x:v>
      </x:c>
      <x:c r="I56" s="2" t="str">
        <x:v>No</x:v>
      </x:c>
      <x:c r="J56" s="2" t="str">
        <x:v>No</x:v>
      </x:c>
      <x:c r="K56" s="2" t="str">
        <x:v>No</x:v>
      </x:c>
      <x:c r="L56" s="2" t="str">
        <x:v>No</x:v>
      </x:c>
      <x:c r="M56" s="6" t="str">
        <x:v>Yes</x:v>
      </x:c>
      <x:c r="N56" s="2" t="str">
        <x:v>Yes</x:v>
      </x:c>
      <x:c r="O56" s="6" t="str">
        <x:v>No</x:v>
      </x:c>
      <x:c r="P56" s="2" t="str">
        <x:v>No</x:v>
      </x:c>
      <x:c r="Q56" s="2" t="str">
        <x:v>No</x:v>
      </x:c>
      <x:c r="R56" s="2" t="str">
        <x:v>No</x:v>
      </x:c>
      <x:c r="S56" s="2" t="str">
        <x:v>No</x:v>
      </x:c>
      <x:c r="T56" s="2" t="str">
        <x:v>No</x:v>
      </x:c>
      <x:c r="U56" s="2" t="str">
        <x:v>No</x:v>
      </x:c>
      <x:c r="V56" s="2" t="str">
        <x:v>No</x:v>
      </x:c>
      <x:c r="W56" s="2" t="str">
        <x:v>No</x:v>
      </x:c>
      <x:c r="X56" s="2" t="str">
        <x:v>No</x:v>
      </x:c>
      <x:c r="Y56" s="2" t="str">
        <x:v>No</x:v>
      </x:c>
      <x:c r="Z56" s="2" t="str">
        <x:v>No</x:v>
      </x:c>
      <x:c r="AA56" s="2" t="str">
        <x:v>No</x:v>
      </x:c>
      <x:c r="AB56" s="2" t="str">
        <x:v>No</x:v>
      </x:c>
      <x:c r="AC56" s="2" t="str">
        <x:v>No</x:v>
      </x:c>
    </x:row>
    <x:row r="57" ht="76" customHeight="1">
      <x:c r="A57" s="2" t="str">
        <x:v>G3</x:v>
      </x:c>
      <x:c r="B57" s="2" t="str">
        <x:v>G3</x:v>
      </x:c>
      <x:c r="C57" s="6" t="str">
        <x:v>ReqTrace: Intelligent Traceability System for Software Engineering Projects</x:v>
      </x:c>
      <x:c r="D57" s="2" t="str">
        <x:v>2025</x:v>
      </x:c>
      <x:c r="E57" s="2" t="str">
        <x:v>Grey literature</x:v>
      </x:c>
      <x:c r="F57" s="2" t="str">
        <x:v>No</x:v>
      </x:c>
      <x:c r="G57" s="2" t="str">
        <x:v>No</x:v>
      </x:c>
      <x:c r="H57" s="2" t="str">
        <x:v>No</x:v>
      </x:c>
      <x:c r="I57" s="2" t="str">
        <x:v>No</x:v>
      </x:c>
      <x:c r="J57" s="2" t="str">
        <x:v>No</x:v>
      </x:c>
      <x:c r="K57" s="2" t="str">
        <x:v>No</x:v>
      </x:c>
      <x:c r="L57" s="2" t="str">
        <x:v>No</x:v>
      </x:c>
      <x:c r="M57" s="6" t="str">
        <x:v>Yes</x:v>
      </x:c>
      <x:c r="N57" s="2" t="str">
        <x:v>No</x:v>
      </x:c>
      <x:c r="O57" s="6" t="str">
        <x:v>No</x:v>
      </x:c>
      <x:c r="P57" s="2" t="str">
        <x:v>No</x:v>
      </x:c>
      <x:c r="Q57" s="2" t="str">
        <x:v>No</x:v>
      </x:c>
      <x:c r="R57" s="2" t="str">
        <x:v>No</x:v>
      </x:c>
      <x:c r="S57" s="2" t="str">
        <x:v>No</x:v>
      </x:c>
      <x:c r="T57" s="2" t="str">
        <x:v>No</x:v>
      </x:c>
      <x:c r="U57" s="2" t="str">
        <x:v>No</x:v>
      </x:c>
      <x:c r="V57" s="2" t="str">
        <x:v>No</x:v>
      </x:c>
      <x:c r="W57" s="2" t="str">
        <x:v>No</x:v>
      </x:c>
      <x:c r="X57" s="2" t="str">
        <x:v>No</x:v>
      </x:c>
      <x:c r="Y57" s="2" t="str">
        <x:v>No</x:v>
      </x:c>
      <x:c r="Z57" s="2" t="str">
        <x:v>No</x:v>
      </x:c>
      <x:c r="AA57" s="2" t="str">
        <x:v>No</x:v>
      </x:c>
      <x:c r="AB57" s="2" t="str">
        <x:v>No</x:v>
      </x:c>
      <x:c r="AC57" s="2" t="str">
        <x:v>No</x:v>
      </x:c>
    </x:row>
    <x:row r="58" ht="76" customHeight="1">
      <x:c r="A58" s="2" t="str">
        <x:v>G4</x:v>
      </x:c>
      <x:c r="B58" s="2" t="str">
        <x:v>G4</x:v>
      </x:c>
      <x:c r="C58" s="6" t="str">
        <x:v>VectorCAST + AI (Reqs2x)</x:v>
      </x:c>
      <x:c r="D58" s="2" t="str">
        <x:v>2026</x:v>
      </x:c>
      <x:c r="E58" s="2" t="str">
        <x:v>Grey literature</x:v>
      </x:c>
      <x:c r="F58" s="2" t="str">
        <x:v>No</x:v>
      </x:c>
      <x:c r="G58" s="2" t="str">
        <x:v>No</x:v>
      </x:c>
      <x:c r="H58" s="2" t="str">
        <x:v>No</x:v>
      </x:c>
      <x:c r="I58" s="2" t="str">
        <x:v>No</x:v>
      </x:c>
      <x:c r="J58" s="2" t="str">
        <x:v>No</x:v>
      </x:c>
      <x:c r="K58" s="2" t="str">
        <x:v>No</x:v>
      </x:c>
      <x:c r="L58" s="2" t="str">
        <x:v>No</x:v>
      </x:c>
      <x:c r="M58" s="6" t="str">
        <x:v>Yes</x:v>
      </x:c>
      <x:c r="N58" s="2" t="str">
        <x:v>No</x:v>
      </x:c>
      <x:c r="O58" s="6" t="str">
        <x:v>No</x:v>
      </x:c>
      <x:c r="P58" s="2" t="str">
        <x:v>No</x:v>
      </x:c>
      <x:c r="Q58" s="2" t="str">
        <x:v>No</x:v>
      </x:c>
      <x:c r="R58" s="2" t="str">
        <x:v>No</x:v>
      </x:c>
      <x:c r="S58" s="2" t="str">
        <x:v>No</x:v>
      </x:c>
      <x:c r="T58" s="2" t="str">
        <x:v>No</x:v>
      </x:c>
      <x:c r="U58" s="2" t="str">
        <x:v>Yes</x:v>
      </x:c>
      <x:c r="V58" s="2" t="str">
        <x:v>Yes</x:v>
      </x:c>
      <x:c r="W58" s="2" t="str">
        <x:v>No</x:v>
      </x:c>
      <x:c r="X58" s="2" t="str">
        <x:v>No</x:v>
      </x:c>
      <x:c r="Y58" s="2" t="str">
        <x:v>No</x:v>
      </x:c>
      <x:c r="Z58" s="2" t="str">
        <x:v>No</x:v>
      </x:c>
      <x:c r="AA58" s="2" t="str">
        <x:v>No</x:v>
      </x:c>
      <x:c r="AB58" s="2" t="str">
        <x:v>No</x:v>
      </x:c>
      <x:c r="AC58" s="2" t="str">
        <x:v>No</x:v>
      </x:c>
    </x:row>
    <x:row r="59" ht="76" customHeight="1">
      <x:c r="A59" s="2" t="str">
        <x:v>G5</x:v>
      </x:c>
      <x:c r="B59" s="2" t="str">
        <x:v>G5</x:v>
      </x:c>
      <x:c r="C59" s="6" t="str">
        <x:v>LLM Assisted Automatic Test Generation and Requirements Traceability</x:v>
      </x:c>
      <x:c r="D59" s="2" t="str">
        <x:v>2026</x:v>
      </x:c>
      <x:c r="E59" s="2" t="str">
        <x:v>Grey literature</x:v>
      </x:c>
      <x:c r="F59" s="2" t="str">
        <x:v>No</x:v>
      </x:c>
      <x:c r="G59" s="2" t="str">
        <x:v>No</x:v>
      </x:c>
      <x:c r="H59" s="2" t="str">
        <x:v>No</x:v>
      </x:c>
      <x:c r="I59" s="2" t="str">
        <x:v>No</x:v>
      </x:c>
      <x:c r="J59" s="2" t="str">
        <x:v>No</x:v>
      </x:c>
      <x:c r="K59" s="2" t="str">
        <x:v>No</x:v>
      </x:c>
      <x:c r="L59" s="2" t="str">
        <x:v>No</x:v>
      </x:c>
      <x:c r="M59" s="6" t="str">
        <x:v>Yes</x:v>
      </x:c>
      <x:c r="N59" s="2" t="str">
        <x:v>Yes</x:v>
      </x:c>
      <x:c r="O59" s="6" t="str">
        <x:v>Yes</x:v>
      </x:c>
      <x:c r="P59" s="2" t="str">
        <x:v>No</x:v>
      </x:c>
      <x:c r="Q59" s="2" t="str">
        <x:v>No</x:v>
      </x:c>
      <x:c r="R59" s="2" t="str">
        <x:v>No</x:v>
      </x:c>
      <x:c r="S59" s="2" t="str">
        <x:v>No</x:v>
      </x:c>
      <x:c r="T59" s="2" t="str">
        <x:v>No</x:v>
      </x:c>
      <x:c r="U59" s="2" t="str">
        <x:v>No</x:v>
      </x:c>
      <x:c r="V59" s="2" t="str">
        <x:v>No</x:v>
      </x:c>
      <x:c r="W59" s="2" t="str">
        <x:v>No</x:v>
      </x:c>
      <x:c r="X59" s="2" t="str">
        <x:v>No</x:v>
      </x:c>
      <x:c r="Y59" s="2" t="str">
        <x:v>No</x:v>
      </x:c>
      <x:c r="Z59" s="2" t="str">
        <x:v>No</x:v>
      </x:c>
      <x:c r="AA59" s="2" t="str">
        <x:v>No</x:v>
      </x:c>
      <x:c r="AB59" s="2" t="str">
        <x:v>No</x:v>
      </x:c>
      <x:c r="AC59" s="2" t="str">
        <x:v>No</x:v>
      </x:c>
    </x:row>
    <x:row r="60" ht="76" customHeight="1">
      <x:c r="A60" s="2" t="str">
        <x:v>G6</x:v>
      </x:c>
      <x:c r="B60" s="2" t="str">
        <x:v>G6</x:v>
      </x:c>
      <x:c r="C60" s="6" t="str">
        <x:v>LLM-Assisted Automatic MC/DC Test Generation &amp; Requirements Traceability for Long-Duration NASA FSW</x:v>
      </x:c>
      <x:c r="D60" s="2" t="str">
        <x:v>2026</x:v>
      </x:c>
      <x:c r="E60" s="2" t="str">
        <x:v>Grey literature</x:v>
      </x:c>
      <x:c r="F60" s="2" t="str">
        <x:v>Yes</x:v>
      </x:c>
      <x:c r="G60" s="2" t="str">
        <x:v>Yes</x:v>
      </x:c>
      <x:c r="H60" s="2" t="str">
        <x:v>No</x:v>
      </x:c>
      <x:c r="I60" s="2" t="str">
        <x:v>Yes</x:v>
      </x:c>
      <x:c r="J60" s="2" t="str">
        <x:v>No</x:v>
      </x:c>
      <x:c r="K60" s="2" t="str">
        <x:v>No</x:v>
      </x:c>
      <x:c r="L60" s="2" t="str">
        <x:v>No</x:v>
      </x:c>
      <x:c r="M60" s="6" t="str">
        <x:v>Yes</x:v>
      </x:c>
      <x:c r="N60" s="2" t="str">
        <x:v>No</x:v>
      </x:c>
      <x:c r="O60" s="6" t="str">
        <x:v>Yes</x:v>
      </x:c>
      <x:c r="P60" s="2" t="str">
        <x:v>No</x:v>
      </x:c>
      <x:c r="Q60" s="2" t="str">
        <x:v>No</x:v>
      </x:c>
      <x:c r="R60" s="2" t="str">
        <x:v>No</x:v>
      </x:c>
      <x:c r="S60" s="2" t="str">
        <x:v>No</x:v>
      </x:c>
      <x:c r="T60" s="2" t="str">
        <x:v>No</x:v>
      </x:c>
      <x:c r="U60" s="2" t="str">
        <x:v>No</x:v>
      </x:c>
      <x:c r="V60" s="2" t="str">
        <x:v>No</x:v>
      </x:c>
      <x:c r="W60" s="2" t="str">
        <x:v>No</x:v>
      </x:c>
      <x:c r="X60" s="2" t="str">
        <x:v>No</x:v>
      </x:c>
      <x:c r="Y60" s="2" t="str">
        <x:v>No</x:v>
      </x:c>
      <x:c r="Z60" s="2" t="str">
        <x:v>No</x:v>
      </x:c>
      <x:c r="AA60" s="2" t="str">
        <x:v>No</x:v>
      </x:c>
      <x:c r="AB60" s="2" t="str">
        <x:v>No</x:v>
      </x:c>
      <x:c r="AC60" s="2" t="str">
        <x:v>No</x:v>
      </x:c>
    </x:row>
    <x:row r="61" ht="76" customHeight="1">
      <x:c r="A61" s="2" t="str">
        <x:v>G7</x:v>
      </x:c>
      <x:c r="B61" s="2" t="str">
        <x:v>G7</x:v>
      </x:c>
      <x:c r="C61" s="6" t="str">
        <x:v>AI-supported traceability and automation with Sphinx-Needs</x:v>
      </x:c>
      <x:c r="D61" s="2" t="str">
        <x:v>2026</x:v>
      </x:c>
      <x:c r="E61" s="2" t="str">
        <x:v>Grey literature</x:v>
      </x:c>
      <x:c r="F61" s="2" t="str">
        <x:v>Yes</x:v>
      </x:c>
      <x:c r="G61" s="2" t="str">
        <x:v>No</x:v>
      </x:c>
      <x:c r="H61" s="2" t="str">
        <x:v>No</x:v>
      </x:c>
      <x:c r="I61" s="2" t="str">
        <x:v>No</x:v>
      </x:c>
      <x:c r="J61" s="2" t="str">
        <x:v>No</x:v>
      </x:c>
      <x:c r="K61" s="2" t="str">
        <x:v>Yes</x:v>
      </x:c>
      <x:c r="L61" s="2" t="str">
        <x:v>No</x:v>
      </x:c>
      <x:c r="M61" s="6" t="str">
        <x:v>Yes</x:v>
      </x:c>
      <x:c r="N61" s="2" t="str">
        <x:v>Yes</x:v>
      </x:c>
      <x:c r="O61" s="6" t="str">
        <x:v>No</x:v>
      </x:c>
      <x:c r="P61" s="2" t="str">
        <x:v>No</x:v>
      </x:c>
      <x:c r="Q61" s="2" t="str">
        <x:v>No</x:v>
      </x:c>
      <x:c r="R61" s="2" t="str">
        <x:v>No</x:v>
      </x:c>
      <x:c r="S61" s="2" t="str">
        <x:v>No</x:v>
      </x:c>
      <x:c r="T61" s="2" t="str">
        <x:v>No</x:v>
      </x:c>
      <x:c r="U61" s="2" t="str">
        <x:v>No</x:v>
      </x:c>
      <x:c r="V61" s="2" t="str">
        <x:v>No</x:v>
      </x:c>
      <x:c r="W61" s="2" t="str">
        <x:v>No</x:v>
      </x:c>
      <x:c r="X61" s="2" t="str">
        <x:v>No</x:v>
      </x:c>
      <x:c r="Y61" s="2" t="str">
        <x:v>No</x:v>
      </x:c>
      <x:c r="Z61" s="2" t="str">
        <x:v>No</x:v>
      </x:c>
      <x:c r="AA61" s="2" t="str">
        <x:v>No</x:v>
      </x:c>
      <x:c r="AB61" s="2" t="str">
        <x:v>No</x:v>
      </x:c>
      <x:c r="AC61" s="2" t="str">
        <x:v>No</x:v>
      </x:c>
    </x:row>
    <x:row r="62" ht="76" customHeight="1">
      <x:c r="A62" s="2" t="str">
        <x:v>G8</x:v>
      </x:c>
      <x:c r="B62" s="2" t="str">
        <x:v>G8</x:v>
      </x:c>
      <x:c r="C62" s="6" t="str">
        <x:v>Building an AI Traceability Agent for Flight Software</x:v>
      </x:c>
      <x:c r="D62" s="2" t="str">
        <x:v>2026</x:v>
      </x:c>
      <x:c r="E62" s="2" t="str">
        <x:v>Grey literature</x:v>
      </x:c>
      <x:c r="F62" s="2" t="str">
        <x:v>No</x:v>
      </x:c>
      <x:c r="G62" s="2" t="str">
        <x:v>No</x:v>
      </x:c>
      <x:c r="H62" s="2" t="str">
        <x:v>No</x:v>
      </x:c>
      <x:c r="I62" s="2" t="str">
        <x:v>No</x:v>
      </x:c>
      <x:c r="J62" s="2" t="str">
        <x:v>No</x:v>
      </x:c>
      <x:c r="K62" s="2" t="str">
        <x:v>No</x:v>
      </x:c>
      <x:c r="L62" s="2" t="str">
        <x:v>No</x:v>
      </x:c>
      <x:c r="M62" s="6" t="str">
        <x:v>Yes</x:v>
      </x:c>
      <x:c r="N62" s="2" t="str">
        <x:v>No</x:v>
      </x:c>
      <x:c r="O62" s="6" t="str">
        <x:v>No</x:v>
      </x:c>
      <x:c r="P62" s="2" t="str">
        <x:v>No</x:v>
      </x:c>
      <x:c r="Q62" s="2" t="str">
        <x:v>No</x:v>
      </x:c>
      <x:c r="R62" s="2" t="str">
        <x:v>No</x:v>
      </x:c>
      <x:c r="S62" s="2" t="str">
        <x:v>No</x:v>
      </x:c>
      <x:c r="T62" s="2" t="str">
        <x:v>No</x:v>
      </x:c>
      <x:c r="U62" s="2" t="str">
        <x:v>Yes</x:v>
      </x:c>
      <x:c r="V62" s="2" t="str">
        <x:v>No</x:v>
      </x:c>
      <x:c r="W62" s="2" t="str">
        <x:v>No</x:v>
      </x:c>
      <x:c r="X62" s="2" t="str">
        <x:v>No</x:v>
      </x:c>
      <x:c r="Y62" s="2" t="str">
        <x:v>No</x:v>
      </x:c>
      <x:c r="Z62" s="2" t="str">
        <x:v>No</x:v>
      </x:c>
      <x:c r="AA62" s="2" t="str">
        <x:v>No</x:v>
      </x:c>
      <x:c r="AB62" s="2" t="str">
        <x:v>No</x:v>
      </x:c>
      <x:c r="AC62" s="2" t="str">
        <x:v>No</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0" hidden="0" customWidth="1"/>
    <x:col min="3" max="3" width="20" hidden="0" customWidth="1"/>
    <x:col min="4" max="4" width="20" hidden="0" customWidth="1"/>
    <x:col min="5" max="5" width="52" hidden="0" customWidth="1"/>
    <x:col min="6" max="6" width="20" hidden="0" customWidth="1"/>
    <x:col min="7" max="7" width="20" hidden="0" customWidth="1"/>
    <x:col min="8" max="8" width="20" hidden="0" customWidth="1"/>
    <x:col min="9" max="9" width="20" hidden="0" customWidth="1"/>
    <x:col min="10" max="10" width="52" hidden="0" customWidth="1"/>
    <x:col min="11" max="11" width="20" hidden="0" customWidth="1"/>
    <x:col min="12" max="12" width="52" hidden="0" customWidth="1"/>
    <x:col min="13" max="13" width="20" hidden="0" customWidth="1"/>
    <x:col min="14" max="14" width="52" hidden="0" customWidth="1"/>
    <x:col min="15" max="15" width="20" hidden="0" customWidth="1"/>
    <x:col min="16" max="16" width="52" hidden="0" customWidth="1"/>
    <x:col min="17" max="17" width="20" hidden="0" customWidth="1"/>
    <x:col min="18" max="18" width="52" hidden="0" customWidth="1"/>
  </x:cols>
  <x:sheetData>
    <x:row r="1" ht="38" customHeight="1">
      <x:c r="A1" s="5" t="str">
        <x:v>Study ID</x:v>
      </x:c>
      <x:c r="B1" s="5" t="str">
        <x:v>Citation key</x:v>
      </x:c>
      <x:c r="C1" s="5" t="str">
        <x:v>Year</x:v>
      </x:c>
      <x:c r="D1" s="5" t="str">
        <x:v>Publication status</x:v>
      </x:c>
      <x:c r="E1" s="5" t="str">
        <x:v>Title</x:v>
      </x:c>
      <x:c r="F1" s="5" t="str">
        <x:v>Model uses</x:v>
      </x:c>
      <x:c r="G1" s="5" t="str">
        <x:v>Identifiable model uses</x:v>
      </x:c>
      <x:c r="H1" s="5" t="str">
        <x:v>RQ4 features</x:v>
      </x:c>
      <x:c r="I1" s="5" t="str">
        <x:v>Model identification</x:v>
      </x:c>
      <x:c r="J1" s="5" t="str">
        <x:v>Identification basis</x:v>
      </x:c>
      <x:c r="K1" s="5" t="str">
        <x:v>Access and deployment</x:v>
      </x:c>
      <x:c r="L1" s="5" t="str">
        <x:v>Access and deployment basis</x:v>
      </x:c>
      <x:c r="M1" s="5" t="str">
        <x:v>Prompt and context specification</x:v>
      </x:c>
      <x:c r="N1" s="5" t="str">
        <x:v>Prompt and context basis</x:v>
      </x:c>
      <x:c r="O1" s="5" t="str">
        <x:v>Invocation and stochasticity controls</x:v>
      </x:c>
      <x:c r="P1" s="5" t="str">
        <x:v>Invocation and stochasticity basis</x:v>
      </x:c>
      <x:c r="Q1" s="5" t="str">
        <x:v>Parameter adaptation</x:v>
      </x:c>
      <x:c r="R1" s="5" t="str">
        <x:v>Parameter adaptation basis</x:v>
      </x:c>
    </x:row>
    <x:row r="2" ht="76" customHeight="1">
      <x:c r="A2" s="2" t="str">
        <x:v>S01</x:v>
      </x:c>
      <x:c r="B2" s="2" t="str">
        <x:v>merged_0002</x:v>
      </x:c>
      <x:c r="C2" s="2" t="str">
        <x:v>2025</x:v>
      </x:c>
      <x:c r="D2" s="2" t="str">
        <x:v>Published conference paper</x:v>
      </x:c>
      <x:c r="E2" s="6" t="str">
        <x:v>LiSSA: Toward Generic Traceability Link Recovery Through Retrieval- Augmented Generation</x:v>
      </x:c>
      <x:c r="F2" s="2" t="str">
        <x:v>4</x:v>
      </x:c>
      <x:c r="G2" s="2" t="str">
        <x:v>4</x:v>
      </x:c>
      <x:c r="H2" s="2" t="str">
        <x:v>9</x:v>
      </x:c>
      <x:c r="I2" s="2" t="str">
        <x:v>Reported</x:v>
      </x:c>
      <x:c r="J2" s="6" t="str">
        <x:v>All model uses have an identifiable model or service configuration.</x:v>
      </x:c>
      <x:c r="K2" s="2" t="str">
        <x:v>Partially reported</x:v>
      </x:c>
      <x:c r="L2" s="6" t="str">
        <x:v>0/4 model uses report all three access conditions; at least one condition is available for 4/4.</x:v>
      </x:c>
      <x:c r="M2" s="2" t="str">
        <x:v>Reported</x:v>
      </x:c>
      <x:c r="N2" s="6" t="str">
        <x:v>Prompt or context construction is fully reported or provided as a template in all 9 relevant records.</x:v>
      </x:c>
      <x:c r="O2" s="2" t="str">
        <x:v>Partially reported</x:v>
      </x:c>
      <x:c r="P2" s="6" t="str">
        <x:v>0/4 model uses report the full invocation-control set; at least one control is available for 4/4.</x:v>
      </x:c>
      <x:c r="Q2" s="2" t="str">
        <x:v>NA</x:v>
      </x:c>
      <x:c r="R2" s="6" t="str">
        <x:v>No model fine-tuning or parameter adaptation is used; inference-time configuration is analysed separately.</x:v>
      </x:c>
    </x:row>
    <x:row r="3" ht="76" customHeight="1">
      <x:c r="A3" s="2" t="str">
        <x:v>S02</x:v>
      </x:c>
      <x:c r="B3" s="2" t="str">
        <x:v>merged_0007</x:v>
      </x:c>
      <x:c r="C3" s="2" t="str">
        <x:v>2026</x:v>
      </x:c>
      <x:c r="D3" s="2" t="str">
        <x:v>Published journal article</x:v>
      </x:c>
      <x:c r="E3" s="6" t="str">
        <x:v>Who's Who? LLM-assisted Software Traceability with Architecture Entity Recognition</x:v>
      </x:c>
      <x:c r="F3" s="2" t="str">
        <x:v>14</x:v>
      </x:c>
      <x:c r="G3" s="2" t="str">
        <x:v>14</x:v>
      </x:c>
      <x:c r="H3" s="2" t="str">
        <x:v>11</x:v>
      </x:c>
      <x:c r="I3" s="2" t="str">
        <x:v>Reported</x:v>
      </x:c>
      <x:c r="J3" s="6" t="str">
        <x:v>All model uses have an identifiable model or service configuration.</x:v>
      </x:c>
      <x:c r="K3" s="2" t="str">
        <x:v>Partially reported</x:v>
      </x:c>
      <x:c r="L3" s="6" t="str">
        <x:v>0/14 model uses report all three access conditions; at least one condition is available for 14/14.</x:v>
      </x:c>
      <x:c r="M3" s="2" t="str">
        <x:v>Reported</x:v>
      </x:c>
      <x:c r="N3" s="6" t="str">
        <x:v>Prompt or context construction is fully reported or provided as a template in all 11 relevant records.</x:v>
      </x:c>
      <x:c r="O3" s="2" t="str">
        <x:v>Partially reported</x:v>
      </x:c>
      <x:c r="P3" s="6" t="str">
        <x:v>0/14 model uses report the full invocation-control set; at least one control is available for 14/14.</x:v>
      </x:c>
      <x:c r="Q3" s="2" t="str">
        <x:v>NA</x:v>
      </x:c>
      <x:c r="R3" s="6" t="str">
        <x:v>No model fine-tuning or parameter adaptation is used; inference-time configuration is analysed separately.</x:v>
      </x:c>
    </x:row>
    <x:row r="4" ht="76" customHeight="1">
      <x:c r="A4" s="2" t="str">
        <x:v>S03</x:v>
      </x:c>
      <x:c r="B4" s="2" t="str">
        <x:v>merged_0014</x:v>
      </x:c>
      <x:c r="C4" s="2" t="str">
        <x:v>2026</x:v>
      </x:c>
      <x:c r="D4" s="2" t="str">
        <x:v>Published conference paper</x:v>
      </x:c>
      <x:c r="E4" s="6" t="str">
        <x:v>Tracing Domain Services in Application Code using Generative AI</x:v>
      </x:c>
      <x:c r="F4" s="2" t="str">
        <x:v>1</x:v>
      </x:c>
      <x:c r="G4" s="2" t="str">
        <x:v>1</x:v>
      </x:c>
      <x:c r="H4" s="2" t="str">
        <x:v>1</x:v>
      </x:c>
      <x:c r="I4" s="2" t="str">
        <x:v>Reported</x:v>
      </x:c>
      <x:c r="J4" s="6" t="str">
        <x:v>All model uses have an identifiable model or service configuration.</x:v>
      </x:c>
      <x:c r="K4" s="2" t="str">
        <x:v>Partially reported</x:v>
      </x:c>
      <x:c r="L4" s="6" t="str">
        <x:v>0/1 model uses report all three access conditions; at least one condition is available for 1/1.</x:v>
      </x:c>
      <x:c r="M4" s="2" t="str">
        <x:v>Partially reported</x:v>
      </x:c>
      <x:c r="N4" s="6" t="str">
        <x:v>0 full/template and 1 partial input-construction records are available; 0 remain unreported or unclear.</x:v>
      </x:c>
      <x:c r="O4" s="2" t="str">
        <x:v>Partially reported</x:v>
      </x:c>
      <x:c r="P4" s="6" t="str">
        <x:v>0/1 model uses report the full invocation-control set; at least one control is available for 1/1.</x:v>
      </x:c>
      <x:c r="Q4" s="2" t="str">
        <x:v>NA</x:v>
      </x:c>
      <x:c r="R4" s="6" t="str">
        <x:v>No model fine-tuning or parameter adaptation is used; inference-time configuration is analysed separately.</x:v>
      </x:c>
    </x:row>
    <x:row r="5" ht="76" customHeight="1">
      <x:c r="A5" s="2" t="str">
        <x:v>S04</x:v>
      </x:c>
      <x:c r="B5" s="2" t="str">
        <x:v>merged_0075</x:v>
      </x:c>
      <x:c r="C5" s="2" t="str">
        <x:v>2024</x:v>
      </x:c>
      <x:c r="D5" s="2" t="str">
        <x:v>Published conference paper</x:v>
      </x:c>
      <x:c r="E5" s="6" t="str">
        <x:v>An LLM-based Approach to Recover Traceability Links between Security Requirements and Goal Models</x:v>
      </x:c>
      <x:c r="F5" s="2" t="str">
        <x:v>1</x:v>
      </x:c>
      <x:c r="G5" s="2" t="str">
        <x:v>1</x:v>
      </x:c>
      <x:c r="H5" s="2" t="str">
        <x:v>1</x:v>
      </x:c>
      <x:c r="I5" s="2" t="str">
        <x:v>Reported</x:v>
      </x:c>
      <x:c r="J5" s="6" t="str">
        <x:v>All model uses have an identifiable model or service configuration.</x:v>
      </x:c>
      <x:c r="K5" s="2" t="str">
        <x:v>Partially reported</x:v>
      </x:c>
      <x:c r="L5" s="6" t="str">
        <x:v>0/1 model uses report all three access conditions; at least one condition is available for 1/1.</x:v>
      </x:c>
      <x:c r="M5" s="2" t="str">
        <x:v>Reported</x:v>
      </x:c>
      <x:c r="N5" s="6" t="str">
        <x:v>Prompt or context construction is fully reported or provided as a template in all 1 relevant records.</x:v>
      </x:c>
      <x:c r="O5" s="2" t="str">
        <x:v>Partially reported</x:v>
      </x:c>
      <x:c r="P5" s="6" t="str">
        <x:v>0/1 model uses report the full invocation-control set; at least one control is available for 1/1.</x:v>
      </x:c>
      <x:c r="Q5" s="2" t="str">
        <x:v>NA</x:v>
      </x:c>
      <x:c r="R5" s="6" t="str">
        <x:v>No model fine-tuning or parameter adaptation is used; inference-time configuration is analysed separately.</x:v>
      </x:c>
    </x:row>
    <x:row r="6" ht="76" customHeight="1">
      <x:c r="A6" s="2" t="str">
        <x:v>S05</x:v>
      </x:c>
      <x:c r="B6" s="2" t="str">
        <x:v>merged_0077</x:v>
      </x:c>
      <x:c r="C6" s="2" t="str">
        <x:v>2026</x:v>
      </x:c>
      <x:c r="D6" s="2" t="str">
        <x:v>Published journal article</x:v>
      </x:c>
      <x:c r="E6" s="6" t="str">
        <x:v>Evaluating the Use of LLMs for Documentation to Code Traceability</x:v>
      </x:c>
      <x:c r="F6" s="2" t="str">
        <x:v>9</x:v>
      </x:c>
      <x:c r="G6" s="2" t="str">
        <x:v>9</x:v>
      </x:c>
      <x:c r="H6" s="2" t="str">
        <x:v>10</x:v>
      </x:c>
      <x:c r="I6" s="2" t="str">
        <x:v>Reported</x:v>
      </x:c>
      <x:c r="J6" s="6" t="str">
        <x:v>All model uses have an identifiable model or service configuration.</x:v>
      </x:c>
      <x:c r="K6" s="2" t="str">
        <x:v>Partially reported</x:v>
      </x:c>
      <x:c r="L6" s="6" t="str">
        <x:v>0/9 model uses report all three access conditions; at least one condition is available for 9/9.</x:v>
      </x:c>
      <x:c r="M6" s="2" t="str">
        <x:v>Partially reported</x:v>
      </x:c>
      <x:c r="N6" s="6" t="str">
        <x:v>3 full/template and 0 partial input-construction records are available; 3 remain unreported or unclear.</x:v>
      </x:c>
      <x:c r="O6" s="2" t="str">
        <x:v>Partially reported</x:v>
      </x:c>
      <x:c r="P6" s="6" t="str">
        <x:v>0/9 model uses report the full invocation-control set; at least one control is available for 9/9.</x:v>
      </x:c>
      <x:c r="Q6" s="2" t="str">
        <x:v>NA</x:v>
      </x:c>
      <x:c r="R6" s="6" t="str">
        <x:v>No model fine-tuning or parameter adaptation is used; inference-time configuration is analysed separately.</x:v>
      </x:c>
    </x:row>
    <x:row r="7" ht="76" customHeight="1">
      <x:c r="A7" s="2" t="str">
        <x:v>S06</x:v>
      </x:c>
      <x:c r="B7" s="2" t="str">
        <x:v>merged_0079</x:v>
      </x:c>
      <x:c r="C7" s="2" t="str">
        <x:v>2026</x:v>
      </x:c>
      <x:c r="D7" s="2" t="str">
        <x:v>Published journal article</x:v>
      </x:c>
      <x:c r="E7" s="6" t="str">
        <x:v>LinkAnchor: An Autonomous LLM-Based Agent for Issue-to-Commit Link Recovery</x:v>
      </x:c>
      <x:c r="F7" s="2" t="str">
        <x:v>1</x:v>
      </x:c>
      <x:c r="G7" s="2" t="str">
        <x:v>1</x:v>
      </x:c>
      <x:c r="H7" s="2" t="str">
        <x:v>3</x:v>
      </x:c>
      <x:c r="I7" s="2" t="str">
        <x:v>Reported</x:v>
      </x:c>
      <x:c r="J7" s="6" t="str">
        <x:v>All model uses have an identifiable model or service configuration.</x:v>
      </x:c>
      <x:c r="K7" s="2" t="str">
        <x:v>Partially reported</x:v>
      </x:c>
      <x:c r="L7" s="6" t="str">
        <x:v>0/1 model uses report all three access conditions; at least one condition is available for 1/1.</x:v>
      </x:c>
      <x:c r="M7" s="2" t="str">
        <x:v>Partially reported</x:v>
      </x:c>
      <x:c r="N7" s="6" t="str">
        <x:v>0 full/template and 1 partial input-construction records are available; 1 remain unreported or unclear.</x:v>
      </x:c>
      <x:c r="O7" s="2" t="str">
        <x:v>Partially reported</x:v>
      </x:c>
      <x:c r="P7" s="6" t="str">
        <x:v>0/1 model uses report the full invocation-control set; at least one control is available for 1/1.</x:v>
      </x:c>
      <x:c r="Q7" s="2" t="str">
        <x:v>NA</x:v>
      </x:c>
      <x:c r="R7" s="6" t="str">
        <x:v>No model fine-tuning or parameter adaptation is used; inference-time configuration is analysed separately.</x:v>
      </x:c>
    </x:row>
    <x:row r="8" ht="76" customHeight="1">
      <x:c r="A8" s="2" t="str">
        <x:v>S07</x:v>
      </x:c>
      <x:c r="B8" s="2" t="str">
        <x:v>merged_0110</x:v>
      </x:c>
      <x:c r="C8" s="2" t="str">
        <x:v>2026</x:v>
      </x:c>
      <x:c r="D8" s="2" t="str">
        <x:v>Published conference paper</x:v>
      </x:c>
      <x:c r="E8" s="6" t="str">
        <x:v>REST-at: An LLM-Based Tool for Automating Traceability between Requirements and Test Cases</x:v>
      </x:c>
      <x:c r="F8" s="2" t="str">
        <x:v>5</x:v>
      </x:c>
      <x:c r="G8" s="2" t="str">
        <x:v>5</x:v>
      </x:c>
      <x:c r="H8" s="2" t="str">
        <x:v>40</x:v>
      </x:c>
      <x:c r="I8" s="2" t="str">
        <x:v>Reported</x:v>
      </x:c>
      <x:c r="J8" s="6" t="str">
        <x:v>All model uses have an identifiable model or service configuration.</x:v>
      </x:c>
      <x:c r="K8" s="2" t="str">
        <x:v>Reported</x:v>
      </x:c>
      <x:c r="L8" s="6" t="str">
        <x:v>Access class, access/deployment mode, and model access date are reported for all model uses.</x:v>
      </x:c>
      <x:c r="M8" s="2" t="str">
        <x:v>Partially reported</x:v>
      </x:c>
      <x:c r="N8" s="6" t="str">
        <x:v>5 full/template and 35 partial input-construction records are available; 0 remain unreported or unclear.</x:v>
      </x:c>
      <x:c r="O8" s="2" t="str">
        <x:v>Partially reported</x:v>
      </x:c>
      <x:c r="P8" s="6" t="str">
        <x:v>0/5 model uses report the full invocation-control set; at least one control is available for 5/5.</x:v>
      </x:c>
      <x:c r="Q8" s="2" t="str">
        <x:v>NA</x:v>
      </x:c>
      <x:c r="R8" s="6" t="str">
        <x:v>No model fine-tuning or parameter adaptation is used; inference-time configuration is analysed separately.</x:v>
      </x:c>
    </x:row>
    <x:row r="9" ht="76" customHeight="1">
      <x:c r="A9" s="2" t="str">
        <x:v>S08</x:v>
      </x:c>
      <x:c r="B9" s="2" t="str">
        <x:v>merged_0256</x:v>
      </x:c>
      <x:c r="C9" s="2" t="str">
        <x:v>2024</x:v>
      </x:c>
      <x:c r="D9" s="2" t="str">
        <x:v>Published conference paper</x:v>
      </x:c>
      <x:c r="E9" s="6" t="str">
        <x:v>Supporting High-Level to Low-Level Requirements Coverage Reviewing with Large Language Models</x:v>
      </x:c>
      <x:c r="F9" s="2" t="str">
        <x:v>7</x:v>
      </x:c>
      <x:c r="G9" s="2" t="str">
        <x:v>7</x:v>
      </x:c>
      <x:c r="H9" s="2" t="str">
        <x:v>7</x:v>
      </x:c>
      <x:c r="I9" s="2" t="str">
        <x:v>Reported</x:v>
      </x:c>
      <x:c r="J9" s="6" t="str">
        <x:v>All model uses have an identifiable model or service configuration.</x:v>
      </x:c>
      <x:c r="K9" s="2" t="str">
        <x:v>Partially reported</x:v>
      </x:c>
      <x:c r="L9" s="6" t="str">
        <x:v>0/7 model uses report all three access conditions; at least one condition is available for 7/7.</x:v>
      </x:c>
      <x:c r="M9" s="2" t="str">
        <x:v>Reported</x:v>
      </x:c>
      <x:c r="N9" s="6" t="str">
        <x:v>Prompt or context construction is fully reported or provided as a template in all 7 relevant records.</x:v>
      </x:c>
      <x:c r="O9" s="2" t="str">
        <x:v>Partially reported</x:v>
      </x:c>
      <x:c r="P9" s="6" t="str">
        <x:v>0/7 model uses report the full invocation-control set; at least one control is available for 7/7.</x:v>
      </x:c>
      <x:c r="Q9" s="2" t="str">
        <x:v>NA</x:v>
      </x:c>
      <x:c r="R9" s="6" t="str">
        <x:v>No model fine-tuning or parameter adaptation is used; inference-time configuration is analysed separately.</x:v>
      </x:c>
    </x:row>
    <x:row r="10" ht="76" customHeight="1">
      <x:c r="A10" s="2" t="str">
        <x:v>S09</x:v>
      </x:c>
      <x:c r="B10" s="2" t="str">
        <x:v>merged_1114</x:v>
      </x:c>
      <x:c r="C10" s="2" t="str">
        <x:v>2026</x:v>
      </x:c>
      <x:c r="D10" s="2" t="str">
        <x:v>Preprint</x:v>
      </x:c>
      <x:c r="E10" s="6" t="str">
        <x:v>Trust-Aware Multi-Agent Traceability: Confidence-Calibrated Knowledge Graphs for Consistent Software Artifact Management</x:v>
      </x:c>
      <x:c r="F10" s="2" t="str">
        <x:v>1</x:v>
      </x:c>
      <x:c r="G10" s="2" t="str">
        <x:v>0</x:v>
      </x:c>
      <x:c r="H10" s="2" t="str">
        <x:v>3</x:v>
      </x:c>
      <x:c r="I10" s="2" t="str">
        <x:v>NR</x:v>
      </x:c>
      <x:c r="J10" s="6" t="str">
        <x:v>No model family or version can be identified from the report.</x:v>
      </x:c>
      <x:c r="K10" s="2" t="str">
        <x:v>NR</x:v>
      </x:c>
      <x:c r="L10" s="6" t="str">
        <x:v>Access class, access/deployment mode, and access date are not reported.</x:v>
      </x:c>
      <x:c r="M10" s="2" t="str">
        <x:v>Partially reported</x:v>
      </x:c>
      <x:c r="N10" s="6" t="str">
        <x:v>0 full/template and 1 partial input-construction records are available; 1 remain unreported or unclear.</x:v>
      </x:c>
      <x:c r="O10" s="2" t="str">
        <x:v>NR</x:v>
      </x:c>
      <x:c r="P10" s="6" t="str">
        <x:v>Temperature, seed, repetitions, context window, and equivalent invocation controls are not reported.</x:v>
      </x:c>
      <x:c r="Q10" s="2" t="str">
        <x:v>NA</x:v>
      </x:c>
      <x:c r="R10" s="6" t="str">
        <x:v>No model fine-tuning or parameter adaptation is used; inference-time configuration is analysed separately.</x:v>
      </x:c>
    </x:row>
    <x:row r="11" ht="76" customHeight="1">
      <x:c r="A11" s="2" t="str">
        <x:v>S10</x:v>
      </x:c>
      <x:c r="B11" s="2" t="str">
        <x:v>merged_1119</x:v>
      </x:c>
      <x:c r="C11" s="2" t="str">
        <x:v>2026</x:v>
      </x:c>
      <x:c r="D11" s="2" t="str">
        <x:v>Preprint</x:v>
      </x:c>
      <x:c r="E11" s="6" t="str">
        <x:v>Think Harder and Don't Overlook Your Options: Revisiting Issue-Commit Linking with LLM-Assisted Retrieval</x:v>
      </x:c>
      <x:c r="F11" s="2" t="str">
        <x:v>4</x:v>
      </x:c>
      <x:c r="G11" s="2" t="str">
        <x:v>4</x:v>
      </x:c>
      <x:c r="H11" s="2" t="str">
        <x:v>1</x:v>
      </x:c>
      <x:c r="I11" s="2" t="str">
        <x:v>Reported</x:v>
      </x:c>
      <x:c r="J11" s="6" t="str">
        <x:v>All model uses have an identifiable model or service configuration.</x:v>
      </x:c>
      <x:c r="K11" s="2" t="str">
        <x:v>Partially reported</x:v>
      </x:c>
      <x:c r="L11" s="6" t="str">
        <x:v>3/4 model uses report all three access conditions; at least one condition is available for 4/4.</x:v>
      </x:c>
      <x:c r="M11" s="2" t="str">
        <x:v>Partially reported</x:v>
      </x:c>
      <x:c r="N11" s="6" t="str">
        <x:v>0 full/template and 1 partial input-construction records are available; 0 remain unreported or unclear.</x:v>
      </x:c>
      <x:c r="O11" s="2" t="str">
        <x:v>NR</x:v>
      </x:c>
      <x:c r="P11" s="6" t="str">
        <x:v>Temperature, seed, repetitions, context window, and equivalent invocation controls are not reported.</x:v>
      </x:c>
      <x:c r="Q11" s="2" t="str">
        <x:v>NA</x:v>
      </x:c>
      <x:c r="R11" s="6" t="str">
        <x:v>No model fine-tuning or parameter adaptation is used; inference-time configuration is analysed separately.</x:v>
      </x:c>
    </x:row>
    <x:row r="12" ht="76" customHeight="1">
      <x:c r="A12" s="2" t="str">
        <x:v>S11</x:v>
      </x:c>
      <x:c r="B12" s="2" t="str">
        <x:v>merged_1121</x:v>
      </x:c>
      <x:c r="C12" s="2" t="str">
        <x:v>2026</x:v>
      </x:c>
      <x:c r="D12" s="2" t="str">
        <x:v>Preprint</x:v>
      </x:c>
      <x:c r="E12" s="6" t="str">
        <x:v>R2Code: A Self-Reflective LLM Framework for Requirements-to-Code Traceability</x:v>
      </x:c>
      <x:c r="F12" s="2" t="str">
        <x:v>5</x:v>
      </x:c>
      <x:c r="G12" s="2" t="str">
        <x:v>5</x:v>
      </x:c>
      <x:c r="H12" s="2" t="str">
        <x:v>5</x:v>
      </x:c>
      <x:c r="I12" s="2" t="str">
        <x:v>Reported</x:v>
      </x:c>
      <x:c r="J12" s="6" t="str">
        <x:v>All model uses have an identifiable model or service configuration.</x:v>
      </x:c>
      <x:c r="K12" s="2" t="str">
        <x:v>Partially reported</x:v>
      </x:c>
      <x:c r="L12" s="6" t="str">
        <x:v>0/5 model uses report all three access conditions; at least one condition is available for 5/5.</x:v>
      </x:c>
      <x:c r="M12" s="2" t="str">
        <x:v>Partially reported</x:v>
      </x:c>
      <x:c r="N12" s="6" t="str">
        <x:v>4 full/template and 0 partial input-construction records are available; 1 remain unreported or unclear.</x:v>
      </x:c>
      <x:c r="O12" s="2" t="str">
        <x:v>Reported</x:v>
      </x:c>
      <x:c r="P12" s="6" t="str">
        <x:v>Temperature, repetition design, and random-seed applicability are reported for all model uses.</x:v>
      </x:c>
      <x:c r="Q12" s="2" t="str">
        <x:v>NA</x:v>
      </x:c>
      <x:c r="R12" s="6" t="str">
        <x:v>No model fine-tuning or parameter adaptation is used; inference-time configuration is analysed separately.</x:v>
      </x:c>
    </x:row>
    <x:row r="13" ht="76" customHeight="1">
      <x:c r="A13" s="2" t="str">
        <x:v>S12</x:v>
      </x:c>
      <x:c r="B13" s="2" t="str">
        <x:v>merged_1133</x:v>
      </x:c>
      <x:c r="C13" s="2" t="str">
        <x:v>2026</x:v>
      </x:c>
      <x:c r="D13" s="2" t="str">
        <x:v>Published journal article</x:v>
      </x:c>
      <x:c r="E13" s="6" t="str">
        <x:v>TraceLLM: Leveraging Large Language Models with Prompt Engineering for Enhanced Requirements Traceability</x:v>
      </x:c>
      <x:c r="F13" s="2" t="str">
        <x:v>8</x:v>
      </x:c>
      <x:c r="G13" s="2" t="str">
        <x:v>8</x:v>
      </x:c>
      <x:c r="H13" s="2" t="str">
        <x:v>2</x:v>
      </x:c>
      <x:c r="I13" s="2" t="str">
        <x:v>Reported</x:v>
      </x:c>
      <x:c r="J13" s="6" t="str">
        <x:v>All model uses have an identifiable model or service configuration.</x:v>
      </x:c>
      <x:c r="K13" s="2" t="str">
        <x:v>Partially reported</x:v>
      </x:c>
      <x:c r="L13" s="6" t="str">
        <x:v>0/8 model uses report all three access conditions; at least one condition is available for 8/8.</x:v>
      </x:c>
      <x:c r="M13" s="2" t="str">
        <x:v>Partially reported</x:v>
      </x:c>
      <x:c r="N13" s="6" t="str">
        <x:v>1 full/template and 1 partial input-construction records are available; 0 remain unreported or unclear.</x:v>
      </x:c>
      <x:c r="O13" s="2" t="str">
        <x:v>Partially reported</x:v>
      </x:c>
      <x:c r="P13" s="6" t="str">
        <x:v>0/8 model uses report the full invocation-control set; at least one control is available for 8/8.</x:v>
      </x:c>
      <x:c r="Q13" s="2" t="str">
        <x:v>NA</x:v>
      </x:c>
      <x:c r="R13" s="6" t="str">
        <x:v>No model fine-tuning or parameter adaptation is used; inference-time configuration is analysed separately.</x:v>
      </x:c>
    </x:row>
    <x:row r="14" ht="76" customHeight="1">
      <x:c r="A14" s="2" t="str">
        <x:v>S13</x:v>
      </x:c>
      <x:c r="B14" s="2" t="str">
        <x:v>merged_1140</x:v>
      </x:c>
      <x:c r="C14" s="2" t="str">
        <x:v>2025</x:v>
      </x:c>
      <x:c r="D14" s="2" t="str">
        <x:v>Published journal article</x:v>
      </x:c>
      <x:c r="E14" s="6" t="str">
        <x:v>Synergistic Enhancement of Requirement-to-Code Traceability: A Framework Combining Large Language Model based Data Augmentation and an Advanced Encoder</x:v>
      </x:c>
      <x:c r="F14" s="2" t="str">
        <x:v>8</x:v>
      </x:c>
      <x:c r="G14" s="2" t="str">
        <x:v>8</x:v>
      </x:c>
      <x:c r="H14" s="2" t="str">
        <x:v>16</x:v>
      </x:c>
      <x:c r="I14" s="2" t="str">
        <x:v>Reported</x:v>
      </x:c>
      <x:c r="J14" s="6" t="str">
        <x:v>All model uses have an identifiable model or service configuration.</x:v>
      </x:c>
      <x:c r="K14" s="2" t="str">
        <x:v>Partially reported</x:v>
      </x:c>
      <x:c r="L14" s="6" t="str">
        <x:v>0/8 model uses report all three access conditions; at least one condition is available for 8/8.</x:v>
      </x:c>
      <x:c r="M14" s="2" t="str">
        <x:v>Reported</x:v>
      </x:c>
      <x:c r="N14" s="6" t="str">
        <x:v>Prompt or context construction is fully reported or provided as a template in all 16 relevant records.</x:v>
      </x:c>
      <x:c r="O14" s="2" t="str">
        <x:v>NR</x:v>
      </x:c>
      <x:c r="P14" s="6" t="str">
        <x:v>Temperature, seed, repetitions, context window, and equivalent invocation controls are not reported.</x:v>
      </x:c>
      <x:c r="Q14" s="2" t="str">
        <x:v>NA</x:v>
      </x:c>
      <x:c r="R14" s="6" t="str">
        <x:v>No model fine-tuning or parameter adaptation is used; inference-time configuration is analysed separately.</x:v>
      </x:c>
    </x:row>
    <x:row r="15" ht="76" customHeight="1">
      <x:c r="A15" s="2" t="str">
        <x:v>S14</x:v>
      </x:c>
      <x:c r="B15" s="2" t="str">
        <x:v>merged_1142</x:v>
      </x:c>
      <x:c r="C15" s="2" t="str">
        <x:v>2025</x:v>
      </x:c>
      <x:c r="D15" s="2" t="str">
        <x:v>Preprint</x:v>
      </x:c>
      <x:c r="E15" s="6" t="str">
        <x:v>Natural Language-Programming Language Software Traceability Link Recovery Needs More than Textual Similarity</x:v>
      </x:c>
      <x:c r="F15" s="2" t="str">
        <x:v>1</x:v>
      </x:c>
      <x:c r="G15" s="2" t="str">
        <x:v>1</x:v>
      </x:c>
      <x:c r="H15" s="2" t="str">
        <x:v>1</x:v>
      </x:c>
      <x:c r="I15" s="2" t="str">
        <x:v>Reported</x:v>
      </x:c>
      <x:c r="J15" s="6" t="str">
        <x:v>All model uses have an identifiable model or service configuration.</x:v>
      </x:c>
      <x:c r="K15" s="2" t="str">
        <x:v>Partially reported</x:v>
      </x:c>
      <x:c r="L15" s="6" t="str">
        <x:v>0/1 model uses report all three access conditions; at least one condition is available for 1/1.</x:v>
      </x:c>
      <x:c r="M15" s="2" t="str">
        <x:v>Reported</x:v>
      </x:c>
      <x:c r="N15" s="6" t="str">
        <x:v>Prompt or context construction is fully reported or provided as a template in all 1 relevant records.</x:v>
      </x:c>
      <x:c r="O15" s="2" t="str">
        <x:v>Partially reported</x:v>
      </x:c>
      <x:c r="P15" s="6" t="str">
        <x:v>0/1 model uses report the full invocation-control set; at least one control is available for 1/1.</x:v>
      </x:c>
      <x:c r="Q15" s="2" t="str">
        <x:v>NA</x:v>
      </x:c>
      <x:c r="R15" s="6" t="str">
        <x:v>No model fine-tuning or parameter adaptation is used; inference-time configuration is analysed separately.</x:v>
      </x:c>
    </x:row>
    <x:row r="16" ht="76" customHeight="1">
      <x:c r="A16" s="2" t="str">
        <x:v>S15</x:v>
      </x:c>
      <x:c r="B16" s="2" t="str">
        <x:v>merged_1143</x:v>
      </x:c>
      <x:c r="C16" s="2" t="str">
        <x:v>2025</x:v>
      </x:c>
      <x:c r="D16" s="2" t="str">
        <x:v>Published conference paper</x:v>
      </x:c>
      <x:c r="E16" s="6" t="str">
        <x:v>Generative Goal Modeling</x:v>
      </x:c>
      <x:c r="F16" s="2" t="str">
        <x:v>3</x:v>
      </x:c>
      <x:c r="G16" s="2" t="str">
        <x:v>3</x:v>
      </x:c>
      <x:c r="H16" s="2" t="str">
        <x:v>6</x:v>
      </x:c>
      <x:c r="I16" s="2" t="str">
        <x:v>Reported</x:v>
      </x:c>
      <x:c r="J16" s="6" t="str">
        <x:v>All model uses have an identifiable model or service configuration.</x:v>
      </x:c>
      <x:c r="K16" s="2" t="str">
        <x:v>Partially reported</x:v>
      </x:c>
      <x:c r="L16" s="6" t="str">
        <x:v>0/3 model uses report all three access conditions; at least one condition is available for 3/3.</x:v>
      </x:c>
      <x:c r="M16" s="2" t="str">
        <x:v>Partially reported</x:v>
      </x:c>
      <x:c r="N16" s="6" t="str">
        <x:v>3 full/template and 0 partial input-construction records are available; 1 remain unreported or unclear.</x:v>
      </x:c>
      <x:c r="O16" s="2" t="str">
        <x:v>Partially reported</x:v>
      </x:c>
      <x:c r="P16" s="6" t="str">
        <x:v>0/3 model uses report the full invocation-control set; at least one control is available for 3/3.</x:v>
      </x:c>
      <x:c r="Q16" s="2" t="str">
        <x:v>NA</x:v>
      </x:c>
      <x:c r="R16" s="6" t="str">
        <x:v>No model fine-tuning or parameter adaptation is used; inference-time configuration is analysed separately.</x:v>
      </x:c>
    </x:row>
    <x:row r="17" ht="76" customHeight="1">
      <x:c r="A17" s="2" t="str">
        <x:v>S16</x:v>
      </x:c>
      <x:c r="B17" s="2" t="str">
        <x:v>merged_1144</x:v>
      </x:c>
      <x:c r="C17" s="2" t="str">
        <x:v>2025</x:v>
      </x:c>
      <x:c r="D17" s="2" t="str">
        <x:v>Published conference paper</x:v>
      </x:c>
      <x:c r="E17" s="6" t="str">
        <x:v>Back to the Basics: Rethinking Issue-Commit Linking with LLM-Assisted Retrieval</x:v>
      </x:c>
      <x:c r="F17" s="2" t="str">
        <x:v>1</x:v>
      </x:c>
      <x:c r="G17" s="2" t="str">
        <x:v>1</x:v>
      </x:c>
      <x:c r="H17" s="2" t="str">
        <x:v>1</x:v>
      </x:c>
      <x:c r="I17" s="2" t="str">
        <x:v>Reported</x:v>
      </x:c>
      <x:c r="J17" s="6" t="str">
        <x:v>All model uses have an identifiable model or service configuration.</x:v>
      </x:c>
      <x:c r="K17" s="2" t="str">
        <x:v>Partially reported</x:v>
      </x:c>
      <x:c r="L17" s="6" t="str">
        <x:v>0/1 model uses report all three access conditions; at least one condition is available for 1/1.</x:v>
      </x:c>
      <x:c r="M17" s="2" t="str">
        <x:v>Reported</x:v>
      </x:c>
      <x:c r="N17" s="6" t="str">
        <x:v>Prompt or context construction is fully reported or provided as a template in all 1 relevant records.</x:v>
      </x:c>
      <x:c r="O17" s="2" t="str">
        <x:v>Partially reported</x:v>
      </x:c>
      <x:c r="P17" s="6" t="str">
        <x:v>0/1 model uses report the full invocation-control set; at least one control is available for 1/1.</x:v>
      </x:c>
      <x:c r="Q17" s="2" t="str">
        <x:v>NA</x:v>
      </x:c>
      <x:c r="R17" s="6" t="str">
        <x:v>No model fine-tuning or parameter adaptation is used; inference-time configuration is analysed separately.</x:v>
      </x:c>
    </x:row>
    <x:row r="18" ht="76" customHeight="1">
      <x:c r="A18" s="2" t="str">
        <x:v>S17</x:v>
      </x:c>
      <x:c r="B18" s="2" t="str">
        <x:v>merged_1148</x:v>
      </x:c>
      <x:c r="C18" s="2" t="str">
        <x:v>2025</x:v>
      </x:c>
      <x:c r="D18" s="2" t="str">
        <x:v>Preprint</x:v>
      </x:c>
      <x:c r="E18" s="6" t="str">
        <x:v>An LLM-Integrated Framework for Completion, Management, and Tracing of STPA</x:v>
      </x:c>
      <x:c r="F18" s="2" t="str">
        <x:v>3</x:v>
      </x:c>
      <x:c r="G18" s="2" t="str">
        <x:v>3</x:v>
      </x:c>
      <x:c r="H18" s="2" t="str">
        <x:v>5</x:v>
      </x:c>
      <x:c r="I18" s="2" t="str">
        <x:v>Reported</x:v>
      </x:c>
      <x:c r="J18" s="6" t="str">
        <x:v>All model uses have an identifiable model or service configuration.</x:v>
      </x:c>
      <x:c r="K18" s="2" t="str">
        <x:v>Partially reported</x:v>
      </x:c>
      <x:c r="L18" s="6" t="str">
        <x:v>0/3 model uses report all three access conditions; at least one condition is available for 3/3.</x:v>
      </x:c>
      <x:c r="M18" s="2" t="str">
        <x:v>Partially reported</x:v>
      </x:c>
      <x:c r="N18" s="6" t="str">
        <x:v>2 full/template and 0 partial input-construction records are available; 3 remain unreported or unclear.</x:v>
      </x:c>
      <x:c r="O18" s="2" t="str">
        <x:v>NR</x:v>
      </x:c>
      <x:c r="P18" s="6" t="str">
        <x:v>Temperature, seed, repetitions, context window, and equivalent invocation controls are not reported.</x:v>
      </x:c>
      <x:c r="Q18" s="2" t="str">
        <x:v>NA</x:v>
      </x:c>
      <x:c r="R18" s="6" t="str">
        <x:v>No model fine-tuning or parameter adaptation is used; inference-time configuration is analysed separately.</x:v>
      </x:c>
    </x:row>
    <x:row r="19" ht="76" customHeight="1">
      <x:c r="A19" s="2" t="str">
        <x:v>S18</x:v>
      </x:c>
      <x:c r="B19" s="2" t="str">
        <x:v>merged_1149</x:v>
      </x:c>
      <x:c r="C19" s="2" t="str">
        <x:v>2025</x:v>
      </x:c>
      <x:c r="D19" s="2" t="str">
        <x:v>Published journal article</x:v>
      </x:c>
      <x:c r="E19" s="6" t="str">
        <x:v>Classifier or Prompt: A Case Study on Legal Requirements Traceability</x:v>
      </x:c>
      <x:c r="F19" s="2" t="str">
        <x:v>1</x:v>
      </x:c>
      <x:c r="G19" s="2" t="str">
        <x:v>1</x:v>
      </x:c>
      <x:c r="H19" s="2" t="str">
        <x:v>1</x:v>
      </x:c>
      <x:c r="I19" s="2" t="str">
        <x:v>Reported</x:v>
      </x:c>
      <x:c r="J19" s="6" t="str">
        <x:v>All model uses have an identifiable model or service configuration.</x:v>
      </x:c>
      <x:c r="K19" s="2" t="str">
        <x:v>Partially reported</x:v>
      </x:c>
      <x:c r="L19" s="6" t="str">
        <x:v>0/1 model uses report all three access conditions; at least one condition is available for 1/1.</x:v>
      </x:c>
      <x:c r="M19" s="2" t="str">
        <x:v>Reported</x:v>
      </x:c>
      <x:c r="N19" s="6" t="str">
        <x:v>Prompt or context construction is fully reported or provided as a template in all 1 relevant records.</x:v>
      </x:c>
      <x:c r="O19" s="2" t="str">
        <x:v>Partially reported</x:v>
      </x:c>
      <x:c r="P19" s="6" t="str">
        <x:v>0/1 model uses report the full invocation-control set; at least one control is available for 1/1.</x:v>
      </x:c>
      <x:c r="Q19" s="2" t="str">
        <x:v>NA</x:v>
      </x:c>
      <x:c r="R19" s="6" t="str">
        <x:v>No model fine-tuning or parameter adaptation is used; inference-time configuration is analysed separately.</x:v>
      </x:c>
    </x:row>
    <x:row r="20" ht="76" customHeight="1">
      <x:c r="A20" s="2" t="str">
        <x:v>S19</x:v>
      </x:c>
      <x:c r="B20" s="2" t="str">
        <x:v>merged_1150</x:v>
      </x:c>
      <x:c r="C20" s="2" t="str">
        <x:v>2025</x:v>
      </x:c>
      <x:c r="D20" s="2" t="str">
        <x:v>Published conference paper</x:v>
      </x:c>
      <x:c r="E20" s="6" t="str">
        <x:v>On the Impact of Requirements Smells in Prompts: The Case of Automated Traceability</x:v>
      </x:c>
      <x:c r="F20" s="2" t="str">
        <x:v>2</x:v>
      </x:c>
      <x:c r="G20" s="2" t="str">
        <x:v>2</x:v>
      </x:c>
      <x:c r="H20" s="2" t="str">
        <x:v>4</x:v>
      </x:c>
      <x:c r="I20" s="2" t="str">
        <x:v>Reported</x:v>
      </x:c>
      <x:c r="J20" s="6" t="str">
        <x:v>All model uses have an identifiable model or service configuration.</x:v>
      </x:c>
      <x:c r="K20" s="2" t="str">
        <x:v>Partially reported</x:v>
      </x:c>
      <x:c r="L20" s="6" t="str">
        <x:v>0/2 model uses report all three access conditions; at least one condition is available for 2/2.</x:v>
      </x:c>
      <x:c r="M20" s="2" t="str">
        <x:v>NR</x:v>
      </x:c>
      <x:c r="N20" s="6" t="str">
        <x:v>Input construction is mentioned, but no prompt, template, or usable description is reported.</x:v>
      </x:c>
      <x:c r="O20" s="2" t="str">
        <x:v>Partially reported</x:v>
      </x:c>
      <x:c r="P20" s="6" t="str">
        <x:v>0/2 model uses report the full invocation-control set; at least one control is available for 2/2.</x:v>
      </x:c>
      <x:c r="Q20" s="2" t="str">
        <x:v>NA</x:v>
      </x:c>
      <x:c r="R20" s="6" t="str">
        <x:v>No model fine-tuning or parameter adaptation is used; inference-time configuration is analysed separately.</x:v>
      </x:c>
    </x:row>
    <x:row r="21" ht="76" customHeight="1">
      <x:c r="A21" s="2" t="str">
        <x:v>S20</x:v>
      </x:c>
      <x:c r="B21" s="2" t="str">
        <x:v>merged_1151</x:v>
      </x:c>
      <x:c r="C21" s="2" t="str">
        <x:v>2024</x:v>
      </x:c>
      <x:c r="D21" s="2" t="str">
        <x:v>Preprint</x:v>
      </x:c>
      <x:c r="E21" s="6" t="str">
        <x:v>Leveraging Graph-RAG and Prompt Engineering to Enhance LLM-Based Automated Requirement Traceability and Compliance Checks</x:v>
      </x:c>
      <x:c r="F21" s="2" t="str">
        <x:v>8</x:v>
      </x:c>
      <x:c r="G21" s="2" t="str">
        <x:v>8</x:v>
      </x:c>
      <x:c r="H21" s="2" t="str">
        <x:v>5</x:v>
      </x:c>
      <x:c r="I21" s="2" t="str">
        <x:v>Reported</x:v>
      </x:c>
      <x:c r="J21" s="6" t="str">
        <x:v>All model uses have an identifiable model or service configuration.</x:v>
      </x:c>
      <x:c r="K21" s="2" t="str">
        <x:v>Partially reported</x:v>
      </x:c>
      <x:c r="L21" s="6" t="str">
        <x:v>0/8 model uses report all three access conditions; at least one condition is available for 8/8.</x:v>
      </x:c>
      <x:c r="M21" s="2" t="str">
        <x:v>Reported</x:v>
      </x:c>
      <x:c r="N21" s="6" t="str">
        <x:v>Prompt or context construction is fully reported or provided as a template in all 5 relevant records.</x:v>
      </x:c>
      <x:c r="O21" s="2" t="str">
        <x:v>NR</x:v>
      </x:c>
      <x:c r="P21" s="6" t="str">
        <x:v>Temperature, seed, repetitions, context window, and equivalent invocation controls are not reported.</x:v>
      </x:c>
      <x:c r="Q21" s="2" t="str">
        <x:v>NA</x:v>
      </x:c>
      <x:c r="R21" s="6" t="str">
        <x:v>No model fine-tuning or parameter adaptation is used; inference-time configuration is analysed separately.</x:v>
      </x:c>
    </x:row>
    <x:row r="22" ht="76" customHeight="1">
      <x:c r="A22" s="2" t="str">
        <x:v>S21</x:v>
      </x:c>
      <x:c r="B22" s="2" t="str">
        <x:v>merged_1152</x:v>
      </x:c>
      <x:c r="C22" s="2" t="str">
        <x:v>2023</x:v>
      </x:c>
      <x:c r="D22" s="2" t="str">
        <x:v>Published workshop paper</x:v>
      </x:c>
      <x:c r="E22" s="6" t="str">
        <x:v>Prompts Matter: Insights and Strategies for Prompt Engineering in Automated Software Traceability</x:v>
      </x:c>
      <x:c r="F22" s="2" t="str">
        <x:v>4</x:v>
      </x:c>
      <x:c r="G22" s="2" t="str">
        <x:v>4</x:v>
      </x:c>
      <x:c r="H22" s="2" t="str">
        <x:v>4</x:v>
      </x:c>
      <x:c r="I22" s="2" t="str">
        <x:v>Reported</x:v>
      </x:c>
      <x:c r="J22" s="6" t="str">
        <x:v>All model uses have an identifiable model or service configuration.</x:v>
      </x:c>
      <x:c r="K22" s="2" t="str">
        <x:v>Partially reported</x:v>
      </x:c>
      <x:c r="L22" s="6" t="str">
        <x:v>0/4 model uses report all three access conditions; at least one condition is available for 4/4.</x:v>
      </x:c>
      <x:c r="M22" s="2" t="str">
        <x:v>Partially reported</x:v>
      </x:c>
      <x:c r="N22" s="6" t="str">
        <x:v>2 full/template and 2 partial input-construction records are available; 0 remain unreported or unclear.</x:v>
      </x:c>
      <x:c r="O22" s="2" t="str">
        <x:v>Partially reported</x:v>
      </x:c>
      <x:c r="P22" s="6" t="str">
        <x:v>0/4 model uses report the full invocation-control set; at least one control is available for 1/4.</x:v>
      </x:c>
      <x:c r="Q22" s="2" t="str">
        <x:v>NA</x:v>
      </x:c>
      <x:c r="R22" s="6" t="str">
        <x:v>No model fine-tuning or parameter adaptation is used; inference-time configuration is analysed separately.</x:v>
      </x:c>
    </x:row>
    <x:row r="23" ht="76" customHeight="1">
      <x:c r="A23" s="2" t="str">
        <x:v>S22</x:v>
      </x:c>
      <x:c r="B23" s="2" t="str">
        <x:v>merged_1154</x:v>
      </x:c>
      <x:c r="C23" s="2" t="str">
        <x:v>2026</x:v>
      </x:c>
      <x:c r="D23" s="2" t="str">
        <x:v>Preprint</x:v>
      </x:c>
      <x:c r="E23" s="6" t="str">
        <x:v>Specification-Driven Development Benchmark: Security Knowledge Transition</x:v>
      </x:c>
      <x:c r="F23" s="2" t="str">
        <x:v>1</x:v>
      </x:c>
      <x:c r="G23" s="2" t="str">
        <x:v>0</x:v>
      </x:c>
      <x:c r="H23" s="2" t="str">
        <x:v>0</x:v>
      </x:c>
      <x:c r="I23" s="2" t="str">
        <x:v>NR</x:v>
      </x:c>
      <x:c r="J23" s="6" t="str">
        <x:v>No model family or version can be identified from the report.</x:v>
      </x:c>
      <x:c r="K23" s="2" t="str">
        <x:v>NR</x:v>
      </x:c>
      <x:c r="L23" s="6" t="str">
        <x:v>Access class, access/deployment mode, and access date are not reported.</x:v>
      </x:c>
      <x:c r="M23" s="2" t="str">
        <x:v>NR</x:v>
      </x:c>
      <x:c r="N23" s="6" t="str">
        <x:v>No prompt, demonstration, or context-construction evidence is recorded.</x:v>
      </x:c>
      <x:c r="O23" s="2" t="str">
        <x:v>NR</x:v>
      </x:c>
      <x:c r="P23" s="6" t="str">
        <x:v>Temperature, seed, repetitions, context window, and equivalent invocation controls are not reported.</x:v>
      </x:c>
      <x:c r="Q23" s="2" t="str">
        <x:v>NA</x:v>
      </x:c>
      <x:c r="R23" s="6" t="str">
        <x:v>No model fine-tuning or parameter adaptation is used; inference-time configuration is analysed separately.</x:v>
      </x:c>
    </x:row>
    <x:row r="24" ht="76" customHeight="1">
      <x:c r="A24" s="2" t="str">
        <x:v>S23</x:v>
      </x:c>
      <x:c r="B24" s="2" t="str">
        <x:v>merged_1156</x:v>
      </x:c>
      <x:c r="C24" s="2" t="str">
        <x:v>2024</x:v>
      </x:c>
      <x:c r="D24" s="2" t="str">
        <x:v>Published conference paper</x:v>
      </x:c>
      <x:c r="E24" s="6" t="str">
        <x:v>Code Gradients: Towards Automated Traceability of LLM-Generated Code</x:v>
      </x:c>
      <x:c r="F24" s="2" t="str">
        <x:v>8</x:v>
      </x:c>
      <x:c r="G24" s="2" t="str">
        <x:v>8</x:v>
      </x:c>
      <x:c r="H24" s="2" t="str">
        <x:v>3</x:v>
      </x:c>
      <x:c r="I24" s="2" t="str">
        <x:v>Reported</x:v>
      </x:c>
      <x:c r="J24" s="6" t="str">
        <x:v>All model uses have an identifiable model or service configuration.</x:v>
      </x:c>
      <x:c r="K24" s="2" t="str">
        <x:v>Partially reported</x:v>
      </x:c>
      <x:c r="L24" s="6" t="str">
        <x:v>0/8 model uses report all three access conditions; at least one condition is available for 8/8.</x:v>
      </x:c>
      <x:c r="M24" s="2" t="str">
        <x:v>Partially reported</x:v>
      </x:c>
      <x:c r="N24" s="6" t="str">
        <x:v>0 full/template and 1 partial input-construction records are available; 2 remain unreported or unclear.</x:v>
      </x:c>
      <x:c r="O24" s="2" t="str">
        <x:v>NR</x:v>
      </x:c>
      <x:c r="P24" s="6" t="str">
        <x:v>Temperature, seed, repetitions, context window, and equivalent invocation controls are not reported.</x:v>
      </x:c>
      <x:c r="Q24" s="2" t="str">
        <x:v>NA</x:v>
      </x:c>
      <x:c r="R24" s="6" t="str">
        <x:v>No model fine-tuning or parameter adaptation is used; inference-time configuration is analysed separately.</x:v>
      </x:c>
    </x:row>
    <x:row r="25" ht="76" customHeight="1">
      <x:c r="A25" s="2" t="str">
        <x:v>S24</x:v>
      </x:c>
      <x:c r="B25" s="2" t="str">
        <x:v>merged_1172</x:v>
      </x:c>
      <x:c r="C25" s="2" t="str">
        <x:v>2026</x:v>
      </x:c>
      <x:c r="D25" s="2" t="str">
        <x:v>Published conference paper</x:v>
      </x:c>
      <x:c r="E25" s="6" t="str">
        <x:v>Automated Extraction and Cross-Document Analysis of Aerospace Project Requirements Using LLMs</x:v>
      </x:c>
      <x:c r="F25" s="2" t="str">
        <x:v>1</x:v>
      </x:c>
      <x:c r="G25" s="2" t="str">
        <x:v>0</x:v>
      </x:c>
      <x:c r="H25" s="2" t="str">
        <x:v>1</x:v>
      </x:c>
      <x:c r="I25" s="2" t="str">
        <x:v>NR</x:v>
      </x:c>
      <x:c r="J25" s="6" t="str">
        <x:v>No model family or version can be identified from the report.</x:v>
      </x:c>
      <x:c r="K25" s="2" t="str">
        <x:v>Partially reported</x:v>
      </x:c>
      <x:c r="L25" s="6" t="str">
        <x:v>0/1 model uses report all three access conditions; at least one condition is available for 1/1.</x:v>
      </x:c>
      <x:c r="M25" s="2" t="str">
        <x:v>Partially reported</x:v>
      </x:c>
      <x:c r="N25" s="6" t="str">
        <x:v>0 full/template and 1 partial input-construction records are available; 0 remain unreported or unclear.</x:v>
      </x:c>
      <x:c r="O25" s="2" t="str">
        <x:v>NR</x:v>
      </x:c>
      <x:c r="P25" s="6" t="str">
        <x:v>Temperature, seed, repetitions, context window, and equivalent invocation controls are not reported.</x:v>
      </x:c>
      <x:c r="Q25" s="2" t="str">
        <x:v>NA</x:v>
      </x:c>
      <x:c r="R25" s="6" t="str">
        <x:v>No model fine-tuning or parameter adaptation is used; inference-time configuration is analysed separately.</x:v>
      </x:c>
    </x:row>
    <x:row r="26" ht="76" customHeight="1">
      <x:c r="A26" s="2" t="str">
        <x:v>S25</x:v>
      </x:c>
      <x:c r="B26" s="2" t="str">
        <x:v>merged_1185</x:v>
      </x:c>
      <x:c r="C26" s="2" t="str">
        <x:v>2025</x:v>
      </x:c>
      <x:c r="D26" s="2" t="str">
        <x:v>Published conference paper</x:v>
      </x:c>
      <x:c r="E26" s="6" t="str">
        <x:v>Agentic RAG for Software Testing with Hybrid Vector-Graph and Multi-Agent Orchestration</x:v>
      </x:c>
      <x:c r="F26" s="2" t="str">
        <x:v>2</x:v>
      </x:c>
      <x:c r="G26" s="2" t="str">
        <x:v>2</x:v>
      </x:c>
      <x:c r="H26" s="2" t="str">
        <x:v>3</x:v>
      </x:c>
      <x:c r="I26" s="2" t="str">
        <x:v>Reported</x:v>
      </x:c>
      <x:c r="J26" s="6" t="str">
        <x:v>All model uses have an identifiable model or service configuration.</x:v>
      </x:c>
      <x:c r="K26" s="2" t="str">
        <x:v>Partially reported</x:v>
      </x:c>
      <x:c r="L26" s="6" t="str">
        <x:v>0/2 model uses report all three access conditions; at least one condition is available for 2/2.</x:v>
      </x:c>
      <x:c r="M26" s="2" t="str">
        <x:v>Partially reported</x:v>
      </x:c>
      <x:c r="N26" s="6" t="str">
        <x:v>0 full/template and 1 partial input-construction records are available; 1 remain unreported or unclear.</x:v>
      </x:c>
      <x:c r="O26" s="2" t="str">
        <x:v>Partially reported</x:v>
      </x:c>
      <x:c r="P26" s="6" t="str">
        <x:v>0/2 model uses report the full invocation-control set; at least one control is available for 0/2.</x:v>
      </x:c>
      <x:c r="Q26" s="2" t="str">
        <x:v>NA</x:v>
      </x:c>
      <x:c r="R26" s="6" t="str">
        <x:v>No model fine-tuning or parameter adaptation is used; inference-time configuration is analysed separately.</x:v>
      </x:c>
    </x:row>
    <x:row r="27" ht="76" customHeight="1">
      <x:c r="A27" s="2" t="str">
        <x:v>S26</x:v>
      </x:c>
      <x:c r="B27" s="2" t="str">
        <x:v>merged_1212</x:v>
      </x:c>
      <x:c r="C27" s="2" t="str">
        <x:v>2025</x:v>
      </x:c>
      <x:c r="D27" s="2" t="str">
        <x:v>Published conference paper</x:v>
      </x:c>
      <x:c r="E27" s="6" t="str">
        <x:v>Intelligent Traceability to Support Software Maintainability and Accountability</x:v>
      </x:c>
      <x:c r="F27" s="2" t="str">
        <x:v>5</x:v>
      </x:c>
      <x:c r="G27" s="2" t="str">
        <x:v>0</x:v>
      </x:c>
      <x:c r="H27" s="2" t="str">
        <x:v>1</x:v>
      </x:c>
      <x:c r="I27" s="2" t="str">
        <x:v>NR</x:v>
      </x:c>
      <x:c r="J27" s="6" t="str">
        <x:v>No model family or version can be identified from the report.</x:v>
      </x:c>
      <x:c r="K27" s="2" t="str">
        <x:v>NR</x:v>
      </x:c>
      <x:c r="L27" s="6" t="str">
        <x:v>Access class, access/deployment mode, and access date are not reported.</x:v>
      </x:c>
      <x:c r="M27" s="2" t="str">
        <x:v>NR</x:v>
      </x:c>
      <x:c r="N27" s="6" t="str">
        <x:v>Input construction is mentioned, but no prompt, template, or usable description is reported.</x:v>
      </x:c>
      <x:c r="O27" s="2" t="str">
        <x:v>NR</x:v>
      </x:c>
      <x:c r="P27" s="6" t="str">
        <x:v>Temperature, seed, repetitions, context window, and equivalent invocation controls are not reported.</x:v>
      </x:c>
      <x:c r="Q27" s="2" t="str">
        <x:v>NA</x:v>
      </x:c>
      <x:c r="R27" s="6" t="str">
        <x:v>No model fine-tuning or parameter adaptation is used; inference-time configuration is analysed separately.</x:v>
      </x:c>
    </x:row>
    <x:row r="28" ht="76" customHeight="1">
      <x:c r="A28" s="2" t="str">
        <x:v>S27</x:v>
      </x:c>
      <x:c r="B28" s="2" t="str">
        <x:v>merged_1213</x:v>
      </x:c>
      <x:c r="C28" s="2" t="str">
        <x:v>2025</x:v>
      </x:c>
      <x:c r="D28" s="2" t="str">
        <x:v>Published workshop paper</x:v>
      </x:c>
      <x:c r="E28" s="6" t="str">
        <x:v>Beyond Retrieval: A Study of Using LLM Ensembles for Candidate Filtering in Requirements Traceability</x:v>
      </x:c>
      <x:c r="F28" s="2" t="str">
        <x:v>6</x:v>
      </x:c>
      <x:c r="G28" s="2" t="str">
        <x:v>6</x:v>
      </x:c>
      <x:c r="H28" s="2" t="str">
        <x:v>2</x:v>
      </x:c>
      <x:c r="I28" s="2" t="str">
        <x:v>Reported</x:v>
      </x:c>
      <x:c r="J28" s="6" t="str">
        <x:v>All model uses have an identifiable model or service configuration.</x:v>
      </x:c>
      <x:c r="K28" s="2" t="str">
        <x:v>Partially reported</x:v>
      </x:c>
      <x:c r="L28" s="6" t="str">
        <x:v>0/6 model uses report all three access conditions; at least one condition is available for 6/6.</x:v>
      </x:c>
      <x:c r="M28" s="2" t="str">
        <x:v>Reported</x:v>
      </x:c>
      <x:c r="N28" s="6" t="str">
        <x:v>Prompt or context construction is fully reported or provided as a template in all 2 relevant records.</x:v>
      </x:c>
      <x:c r="O28" s="2" t="str">
        <x:v>Partially reported</x:v>
      </x:c>
      <x:c r="P28" s="6" t="str">
        <x:v>0/6 model uses report the full invocation-control set; at least one control is available for 6/6.</x:v>
      </x:c>
      <x:c r="Q28" s="2" t="str">
        <x:v>NA</x:v>
      </x:c>
      <x:c r="R28" s="6" t="str">
        <x:v>No model fine-tuning or parameter adaptation is used; inference-time configuration is analysed separately.</x:v>
      </x:c>
    </x:row>
    <x:row r="29" ht="76" customHeight="1">
      <x:c r="A29" s="2" t="str">
        <x:v>S28</x:v>
      </x:c>
      <x:c r="B29" s="2" t="str">
        <x:v>merged_1214</x:v>
      </x:c>
      <x:c r="C29" s="2" t="str">
        <x:v>2025</x:v>
      </x:c>
      <x:c r="D29" s="2" t="str">
        <x:v>Published conference paper</x:v>
      </x:c>
      <x:c r="E29" s="6" t="str">
        <x:v>Establishing Traceability Between Natural Language Requirements and Software Artifacts by Combining RAG and LLMs</x:v>
      </x:c>
      <x:c r="F29" s="2" t="str">
        <x:v>3</x:v>
      </x:c>
      <x:c r="G29" s="2" t="str">
        <x:v>3</x:v>
      </x:c>
      <x:c r="H29" s="2" t="str">
        <x:v>4</x:v>
      </x:c>
      <x:c r="I29" s="2" t="str">
        <x:v>Reported</x:v>
      </x:c>
      <x:c r="J29" s="6" t="str">
        <x:v>All model uses have an identifiable model or service configuration.</x:v>
      </x:c>
      <x:c r="K29" s="2" t="str">
        <x:v>Partially reported</x:v>
      </x:c>
      <x:c r="L29" s="6" t="str">
        <x:v>0/3 model uses report all three access conditions; at least one condition is available for 3/3.</x:v>
      </x:c>
      <x:c r="M29" s="2" t="str">
        <x:v>Partially reported</x:v>
      </x:c>
      <x:c r="N29" s="6" t="str">
        <x:v>2 full/template and 0 partial input-construction records are available; 2 remain unreported or unclear.</x:v>
      </x:c>
      <x:c r="O29" s="2" t="str">
        <x:v>Partially reported</x:v>
      </x:c>
      <x:c r="P29" s="6" t="str">
        <x:v>0/3 model uses report the full invocation-control set; at least one control is available for 3/3.</x:v>
      </x:c>
      <x:c r="Q29" s="2" t="str">
        <x:v>NA</x:v>
      </x:c>
      <x:c r="R29" s="6" t="str">
        <x:v>No model fine-tuning or parameter adaptation is used; inference-time configuration is analysed separately.</x:v>
      </x:c>
    </x:row>
    <x:row r="30" ht="76" customHeight="1">
      <x:c r="A30" s="2" t="str">
        <x:v>S29</x:v>
      </x:c>
      <x:c r="B30" s="2" t="str">
        <x:v>merged_1215</x:v>
      </x:c>
      <x:c r="C30" s="2" t="str">
        <x:v>2026</x:v>
      </x:c>
      <x:c r="D30" s="2" t="str">
        <x:v>Preprint</x:v>
      </x:c>
      <x:c r="E30" s="6" t="str">
        <x:v>TVR: Automotive System Requirements Traceability Validation and Recovery Through Retrieval-Augmented Generation</x:v>
      </x:c>
      <x:c r="F30" s="2" t="str">
        <x:v>2</x:v>
      </x:c>
      <x:c r="G30" s="2" t="str">
        <x:v>2</x:v>
      </x:c>
      <x:c r="H30" s="2" t="str">
        <x:v>4</x:v>
      </x:c>
      <x:c r="I30" s="2" t="str">
        <x:v>Reported</x:v>
      </x:c>
      <x:c r="J30" s="6" t="str">
        <x:v>All model uses have an identifiable model or service configuration.</x:v>
      </x:c>
      <x:c r="K30" s="2" t="str">
        <x:v>Partially reported</x:v>
      </x:c>
      <x:c r="L30" s="6" t="str">
        <x:v>0/2 model uses report all three access conditions; at least one condition is available for 2/2.</x:v>
      </x:c>
      <x:c r="M30" s="2" t="str">
        <x:v>Partially reported</x:v>
      </x:c>
      <x:c r="N30" s="6" t="str">
        <x:v>2 full/template and 0 partial input-construction records are available; 2 remain unreported or unclear.</x:v>
      </x:c>
      <x:c r="O30" s="2" t="str">
        <x:v>Partially reported</x:v>
      </x:c>
      <x:c r="P30" s="6" t="str">
        <x:v>0/2 model uses report the full invocation-control set; at least one control is available for 2/2.</x:v>
      </x:c>
      <x:c r="Q30" s="2" t="str">
        <x:v>NA</x:v>
      </x:c>
      <x:c r="R30" s="6" t="str">
        <x:v>No model fine-tuning or parameter adaptation is used; inference-time configuration is analysed separately.</x:v>
      </x:c>
    </x:row>
    <x:row r="31" ht="76" customHeight="1">
      <x:c r="A31" s="2" t="str">
        <x:v>S30</x:v>
      </x:c>
      <x:c r="B31" s="2" t="str">
        <x:v>merged_1218</x:v>
      </x:c>
      <x:c r="C31" s="2" t="str">
        <x:v>2025</x:v>
      </x:c>
      <x:c r="D31" s="2" t="str">
        <x:v>Published conference paper</x:v>
      </x:c>
      <x:c r="E31" s="6" t="str">
        <x:v>Navigating through Work Items in Issue Tracking Systems via Natural Language Queries</x:v>
      </x:c>
      <x:c r="F31" s="2" t="str">
        <x:v>4</x:v>
      </x:c>
      <x:c r="G31" s="2" t="str">
        <x:v>4</x:v>
      </x:c>
      <x:c r="H31" s="2" t="str">
        <x:v>4</x:v>
      </x:c>
      <x:c r="I31" s="2" t="str">
        <x:v>Reported</x:v>
      </x:c>
      <x:c r="J31" s="6" t="str">
        <x:v>All model uses have an identifiable model or service configuration.</x:v>
      </x:c>
      <x:c r="K31" s="2" t="str">
        <x:v>Partially reported</x:v>
      </x:c>
      <x:c r="L31" s="6" t="str">
        <x:v>0/4 model uses report all three access conditions; at least one condition is available for 4/4.</x:v>
      </x:c>
      <x:c r="M31" s="2" t="str">
        <x:v>Partially reported</x:v>
      </x:c>
      <x:c r="N31" s="6" t="str">
        <x:v>2 full/template and 2 partial input-construction records are available; 0 remain unreported or unclear.</x:v>
      </x:c>
      <x:c r="O31" s="2" t="str">
        <x:v>Partially reported</x:v>
      </x:c>
      <x:c r="P31" s="6" t="str">
        <x:v>0/4 model uses report the full invocation-control set; at least one control is available for 4/4.</x:v>
      </x:c>
      <x:c r="Q31" s="2" t="str">
        <x:v>NA</x:v>
      </x:c>
      <x:c r="R31" s="6" t="str">
        <x:v>No model fine-tuning or parameter adaptation is used; inference-time configuration is analysed separately.</x:v>
      </x:c>
    </x:row>
    <x:row r="32" ht="76" customHeight="1">
      <x:c r="A32" s="2" t="str">
        <x:v>S31</x:v>
      </x:c>
      <x:c r="B32" s="2" t="str">
        <x:v>merged_1219</x:v>
      </x:c>
      <x:c r="C32" s="2" t="str">
        <x:v>2025</x:v>
      </x:c>
      <x:c r="D32" s="2" t="str">
        <x:v>Published workshop paper</x:v>
      </x:c>
      <x:c r="E32" s="6" t="str">
        <x:v>Generating Context-Aware Learning Materials for Software Security via LLM Agents and Traceability</x:v>
      </x:c>
      <x:c r="F32" s="2" t="str">
        <x:v>3</x:v>
      </x:c>
      <x:c r="G32" s="2" t="str">
        <x:v>2</x:v>
      </x:c>
      <x:c r="H32" s="2" t="str">
        <x:v>0</x:v>
      </x:c>
      <x:c r="I32" s="2" t="str">
        <x:v>Partially reported</x:v>
      </x:c>
      <x:c r="J32" s="6" t="str">
        <x:v>2/3 model uses have identifiable model information; 2/3 have a specific normalized configuration.</x:v>
      </x:c>
      <x:c r="K32" s="2" t="str">
        <x:v>Partially reported</x:v>
      </x:c>
      <x:c r="L32" s="6" t="str">
        <x:v>0/3 model uses report all three access conditions; at least one condition is available for 2/3.</x:v>
      </x:c>
      <x:c r="M32" s="2" t="str">
        <x:v>NR</x:v>
      </x:c>
      <x:c r="N32" s="6" t="str">
        <x:v>No prompt, demonstration, or context-construction evidence is recorded.</x:v>
      </x:c>
      <x:c r="O32" s="2" t="str">
        <x:v>NR</x:v>
      </x:c>
      <x:c r="P32" s="6" t="str">
        <x:v>Temperature, seed, repetitions, context window, and equivalent invocation controls are not reported.</x:v>
      </x:c>
      <x:c r="Q32" s="2" t="str">
        <x:v>NA</x:v>
      </x:c>
      <x:c r="R32" s="6" t="str">
        <x:v>No model fine-tuning or parameter adaptation is used; inference-time configuration is analysed separately.</x:v>
      </x:c>
    </x:row>
    <x:row r="33" ht="76" customHeight="1">
      <x:c r="A33" s="2" t="str">
        <x:v>S32</x:v>
      </x:c>
      <x:c r="B33" s="2" t="str">
        <x:v>merged_1220</x:v>
      </x:c>
      <x:c r="C33" s="2" t="str">
        <x:v>2025</x:v>
      </x:c>
      <x:c r="D33" s="2" t="str">
        <x:v>Published workshop paper</x:v>
      </x:c>
      <x:c r="E33" s="6" t="str">
        <x:v>Constructing Cross-Level Traceability Links in the Automotive Domain: A Case Study</x:v>
      </x:c>
      <x:c r="F33" s="2" t="str">
        <x:v>1</x:v>
      </x:c>
      <x:c r="G33" s="2" t="str">
        <x:v>0</x:v>
      </x:c>
      <x:c r="H33" s="2" t="str">
        <x:v>1</x:v>
      </x:c>
      <x:c r="I33" s="2" t="str">
        <x:v>NR</x:v>
      </x:c>
      <x:c r="J33" s="6" t="str">
        <x:v>No model family or version can be identified from the report.</x:v>
      </x:c>
      <x:c r="K33" s="2" t="str">
        <x:v>NR</x:v>
      </x:c>
      <x:c r="L33" s="6" t="str">
        <x:v>Access class, access/deployment mode, and access date are not reported.</x:v>
      </x:c>
      <x:c r="M33" s="2" t="str">
        <x:v>Partially reported</x:v>
      </x:c>
      <x:c r="N33" s="6" t="str">
        <x:v>0 full/template and 1 partial input-construction records are available; 0 remain unreported or unclear.</x:v>
      </x:c>
      <x:c r="O33" s="2" t="str">
        <x:v>NR</x:v>
      </x:c>
      <x:c r="P33" s="6" t="str">
        <x:v>Temperature, seed, repetitions, context window, and equivalent invocation controls are not reported.</x:v>
      </x:c>
      <x:c r="Q33" s="2" t="str">
        <x:v>NA</x:v>
      </x:c>
      <x:c r="R33" s="6" t="str">
        <x:v>No model fine-tuning or parameter adaptation is used; inference-time configuration is analysed separately.</x:v>
      </x:c>
    </x:row>
    <x:row r="34" ht="76" customHeight="1">
      <x:c r="A34" s="2" t="str">
        <x:v>S33</x:v>
      </x:c>
      <x:c r="B34" s="2" t="str">
        <x:v>merged_1222</x:v>
      </x:c>
      <x:c r="C34" s="2" t="str">
        <x:v>2025</x:v>
      </x:c>
      <x:c r="D34" s="2" t="str">
        <x:v>Published workshop paper</x:v>
      </x:c>
      <x:c r="E34" s="6" t="str">
        <x:v>Can we use LLMs to recover Trace Links between Source Code and Security Requirements?</x:v>
      </x:c>
      <x:c r="F34" s="2" t="str">
        <x:v>3</x:v>
      </x:c>
      <x:c r="G34" s="2" t="str">
        <x:v>3</x:v>
      </x:c>
      <x:c r="H34" s="2" t="str">
        <x:v>10</x:v>
      </x:c>
      <x:c r="I34" s="2" t="str">
        <x:v>Reported</x:v>
      </x:c>
      <x:c r="J34" s="6" t="str">
        <x:v>All model uses have an identifiable model or service configuration.</x:v>
      </x:c>
      <x:c r="K34" s="2" t="str">
        <x:v>Partially reported</x:v>
      </x:c>
      <x:c r="L34" s="6" t="str">
        <x:v>0/3 model uses report all three access conditions; at least one condition is available for 3/3.</x:v>
      </x:c>
      <x:c r="M34" s="2" t="str">
        <x:v>Partially reported</x:v>
      </x:c>
      <x:c r="N34" s="6" t="str">
        <x:v>3 full/template and 0 partial input-construction records are available; 2 remain unreported or unclear.</x:v>
      </x:c>
      <x:c r="O34" s="2" t="str">
        <x:v>Partially reported</x:v>
      </x:c>
      <x:c r="P34" s="6" t="str">
        <x:v>0/3 model uses report the full invocation-control set; at least one control is available for 0/3.</x:v>
      </x:c>
      <x:c r="Q34" s="2" t="str">
        <x:v>NA</x:v>
      </x:c>
      <x:c r="R34" s="6" t="str">
        <x:v>No model fine-tuning or parameter adaptation is used; inference-time configuration is analysed separately.</x:v>
      </x:c>
    </x:row>
    <x:row r="35" ht="76" customHeight="1">
      <x:c r="A35" s="2" t="str">
        <x:v>S34</x:v>
      </x:c>
      <x:c r="B35" s="2" t="str">
        <x:v>merged_1224</x:v>
      </x:c>
      <x:c r="C35" s="2" t="str">
        <x:v>2025</x:v>
      </x:c>
      <x:c r="D35" s="2" t="str">
        <x:v>Preprint</x:v>
      </x:c>
      <x:c r="E35" s="6" t="str">
        <x:v>Behavioral Augmentation of UML Class Diagrams: An Empirical Study of Large Language Models for Method Generation</x:v>
      </x:c>
      <x:c r="F35" s="2" t="str">
        <x:v>9</x:v>
      </x:c>
      <x:c r="G35" s="2" t="str">
        <x:v>9</x:v>
      </x:c>
      <x:c r="H35" s="2" t="str">
        <x:v>1</x:v>
      </x:c>
      <x:c r="I35" s="2" t="str">
        <x:v>Reported</x:v>
      </x:c>
      <x:c r="J35" s="6" t="str">
        <x:v>All model uses have an identifiable model or service configuration.</x:v>
      </x:c>
      <x:c r="K35" s="2" t="str">
        <x:v>Partially reported</x:v>
      </x:c>
      <x:c r="L35" s="6" t="str">
        <x:v>0/9 model uses report all three access conditions; at least one condition is available for 9/9.</x:v>
      </x:c>
      <x:c r="M35" s="2" t="str">
        <x:v>Reported</x:v>
      </x:c>
      <x:c r="N35" s="6" t="str">
        <x:v>Prompt or context construction is fully reported or provided as a template in all 1 relevant records.</x:v>
      </x:c>
      <x:c r="O35" s="2" t="str">
        <x:v>Partially reported</x:v>
      </x:c>
      <x:c r="P35" s="6" t="str">
        <x:v>0/9 model uses report the full invocation-control set; at least one control is available for 9/9.</x:v>
      </x:c>
      <x:c r="Q35" s="2" t="str">
        <x:v>NA</x:v>
      </x:c>
      <x:c r="R35" s="6" t="str">
        <x:v>No model fine-tuning or parameter adaptation is used; inference-time configuration is analysed separately.</x:v>
      </x:c>
    </x:row>
    <x:row r="36" ht="76" customHeight="1">
      <x:c r="A36" s="2" t="str">
        <x:v>S35</x:v>
      </x:c>
      <x:c r="B36" s="2" t="str">
        <x:v>merged_1225</x:v>
      </x:c>
      <x:c r="C36" s="2" t="str">
        <x:v>2024</x:v>
      </x:c>
      <x:c r="D36" s="2" t="str">
        <x:v>Published conference paper</x:v>
      </x:c>
      <x:c r="E36" s="6" t="str">
        <x:v>Tracing Feature Tests to Textual Requirements</x:v>
      </x:c>
      <x:c r="F36" s="2" t="str">
        <x:v>1</x:v>
      </x:c>
      <x:c r="G36" s="2" t="str">
        <x:v>1</x:v>
      </x:c>
      <x:c r="H36" s="2" t="str">
        <x:v>2</x:v>
      </x:c>
      <x:c r="I36" s="2" t="str">
        <x:v>Reported</x:v>
      </x:c>
      <x:c r="J36" s="6" t="str">
        <x:v>All model uses have an identifiable model or service configuration.</x:v>
      </x:c>
      <x:c r="K36" s="2" t="str">
        <x:v>Partially reported</x:v>
      </x:c>
      <x:c r="L36" s="6" t="str">
        <x:v>0/1 model uses report all three access conditions; at least one condition is available for 1/1.</x:v>
      </x:c>
      <x:c r="M36" s="2" t="str">
        <x:v>Reported</x:v>
      </x:c>
      <x:c r="N36" s="6" t="str">
        <x:v>Prompt or context construction is fully reported or provided as a template in all 2 relevant records.</x:v>
      </x:c>
      <x:c r="O36" s="2" t="str">
        <x:v>NR</x:v>
      </x:c>
      <x:c r="P36" s="6" t="str">
        <x:v>Temperature, seed, repetitions, context window, and equivalent invocation controls are not reported.</x:v>
      </x:c>
      <x:c r="Q36" s="2" t="str">
        <x:v>NA</x:v>
      </x:c>
      <x:c r="R36" s="6" t="str">
        <x:v>No model fine-tuning or parameter adaptation is used; inference-time configuration is analysed separately.</x:v>
      </x:c>
    </x:row>
    <x:row r="37" ht="76" customHeight="1">
      <x:c r="A37" s="2" t="str">
        <x:v>S36</x:v>
      </x:c>
      <x:c r="B37" s="2" t="str">
        <x:v>merged_1236</x:v>
      </x:c>
      <x:c r="C37" s="2" t="str">
        <x:v>2026</x:v>
      </x:c>
      <x:c r="D37" s="2" t="str">
        <x:v>Published conference paper</x:v>
      </x:c>
      <x:c r="E37" s="6" t="str">
        <x:v>DDD-Enforcer: An AI-Powered Multi-Agent System for Real-Time Domain-Driven Design Enforcement</x:v>
      </x:c>
      <x:c r="F37" s="2" t="str">
        <x:v>2</x:v>
      </x:c>
      <x:c r="G37" s="2" t="str">
        <x:v>2</x:v>
      </x:c>
      <x:c r="H37" s="2" t="str">
        <x:v>2</x:v>
      </x:c>
      <x:c r="I37" s="2" t="str">
        <x:v>Reported</x:v>
      </x:c>
      <x:c r="J37" s="6" t="str">
        <x:v>All model uses have an identifiable model or service configuration.</x:v>
      </x:c>
      <x:c r="K37" s="2" t="str">
        <x:v>Partially reported</x:v>
      </x:c>
      <x:c r="L37" s="6" t="str">
        <x:v>0/2 model uses report all three access conditions; at least one condition is available for 2/2.</x:v>
      </x:c>
      <x:c r="M37" s="2" t="str">
        <x:v>NR</x:v>
      </x:c>
      <x:c r="N37" s="6" t="str">
        <x:v>No prompt, demonstration, or context-construction evidence is recorded.</x:v>
      </x:c>
      <x:c r="O37" s="2" t="str">
        <x:v>NR</x:v>
      </x:c>
      <x:c r="P37" s="6" t="str">
        <x:v>Temperature, seed, repetitions, context window, and equivalent invocation controls are not reported.</x:v>
      </x:c>
      <x:c r="Q37" s="2" t="str">
        <x:v>NA</x:v>
      </x:c>
      <x:c r="R37" s="6" t="str">
        <x:v>No model fine-tuning or parameter adaptation is used; inference-time configuration is analysed separately.</x:v>
      </x:c>
    </x:row>
    <x:row r="38" ht="76" customHeight="1">
      <x:c r="A38" s="2" t="str">
        <x:v>S37</x:v>
      </x:c>
      <x:c r="B38" s="2" t="str">
        <x:v>merged_1238</x:v>
      </x:c>
      <x:c r="C38" s="2" t="str">
        <x:v>2026</x:v>
      </x:c>
      <x:c r="D38" s="2" t="str">
        <x:v>Published journal article</x:v>
      </x:c>
      <x:c r="E38" s="6" t="str">
        <x:v>Iterative Requirements-Driven Business Process Modeling and Verification with Large Language Models</x:v>
      </x:c>
      <x:c r="F38" s="2" t="str">
        <x:v>3</x:v>
      </x:c>
      <x:c r="G38" s="2" t="str">
        <x:v>3</x:v>
      </x:c>
      <x:c r="H38" s="2" t="str">
        <x:v>4</x:v>
      </x:c>
      <x:c r="I38" s="2" t="str">
        <x:v>Reported</x:v>
      </x:c>
      <x:c r="J38" s="6" t="str">
        <x:v>All model uses have an identifiable model or service configuration.</x:v>
      </x:c>
      <x:c r="K38" s="2" t="str">
        <x:v>Partially reported</x:v>
      </x:c>
      <x:c r="L38" s="6" t="str">
        <x:v>0/3 model uses report all three access conditions; at least one condition is available for 3/3.</x:v>
      </x:c>
      <x:c r="M38" s="2" t="str">
        <x:v>Partially reported</x:v>
      </x:c>
      <x:c r="N38" s="6" t="str">
        <x:v>3 full/template and 0 partial input-construction records are available; 1 remain unreported or unclear.</x:v>
      </x:c>
      <x:c r="O38" s="2" t="str">
        <x:v>Partially reported</x:v>
      </x:c>
      <x:c r="P38" s="6" t="str">
        <x:v>0/3 model uses report the full invocation-control set; at least one control is available for 2/3.</x:v>
      </x:c>
      <x:c r="Q38" s="2" t="str">
        <x:v>NA</x:v>
      </x:c>
      <x:c r="R38" s="6" t="str">
        <x:v>No model fine-tuning or parameter adaptation is used; inference-time configuration is analysed separately.</x:v>
      </x:c>
    </x:row>
    <x:row r="39" ht="76" customHeight="1">
      <x:c r="A39" s="2" t="str">
        <x:v>S38</x:v>
      </x:c>
      <x:c r="B39" s="2" t="str">
        <x:v>merged_1241</x:v>
      </x:c>
      <x:c r="C39" s="2" t="str">
        <x:v>2026</x:v>
      </x:c>
      <x:c r="D39" s="2" t="str">
        <x:v>Published conference paper</x:v>
      </x:c>
      <x:c r="E39" s="6" t="str">
        <x:v>LusGen: Leveraging LLMs for Safety-Critical Lustre Design and Requirements Traceability</x:v>
      </x:c>
      <x:c r="F39" s="2" t="str">
        <x:v>4</x:v>
      </x:c>
      <x:c r="G39" s="2" t="str">
        <x:v>4</x:v>
      </x:c>
      <x:c r="H39" s="2" t="str">
        <x:v>2</x:v>
      </x:c>
      <x:c r="I39" s="2" t="str">
        <x:v>Reported</x:v>
      </x:c>
      <x:c r="J39" s="6" t="str">
        <x:v>All model uses have an identifiable model or service configuration.</x:v>
      </x:c>
      <x:c r="K39" s="2" t="str">
        <x:v>Partially reported</x:v>
      </x:c>
      <x:c r="L39" s="6" t="str">
        <x:v>0/4 model uses report all three access conditions; at least one condition is available for 4/4.</x:v>
      </x:c>
      <x:c r="M39" s="2" t="str">
        <x:v>Partially reported</x:v>
      </x:c>
      <x:c r="N39" s="6" t="str">
        <x:v>0 full/template and 1 partial input-construction records are available; 1 remain unreported or unclear.</x:v>
      </x:c>
      <x:c r="O39" s="2" t="str">
        <x:v>NR</x:v>
      </x:c>
      <x:c r="P39" s="6" t="str">
        <x:v>Temperature, seed, repetitions, context window, and equivalent invocation controls are not reported.</x:v>
      </x:c>
      <x:c r="Q39" s="2" t="str">
        <x:v>NA</x:v>
      </x:c>
      <x:c r="R39" s="6" t="str">
        <x:v>No model fine-tuning or parameter adaptation is used; inference-time configuration is analysed separately.</x:v>
      </x:c>
    </x:row>
    <x:row r="40" ht="76" customHeight="1">
      <x:c r="A40" s="2" t="str">
        <x:v>S39</x:v>
      </x:c>
      <x:c r="B40" s="2" t="str">
        <x:v>merged_1245</x:v>
      </x:c>
      <x:c r="C40" s="2" t="str">
        <x:v>2025</x:v>
      </x:c>
      <x:c r="D40" s="2" t="str">
        <x:v>Published conference paper</x:v>
      </x:c>
      <x:c r="E40" s="6" t="str">
        <x:v>Smells Like Trouble: Investigating the Impact of Requirements Quality on LLM-Supported Software Engineering</x:v>
      </x:c>
      <x:c r="F40" s="2" t="str">
        <x:v>1</x:v>
      </x:c>
      <x:c r="G40" s="2" t="str">
        <x:v>1</x:v>
      </x:c>
      <x:c r="H40" s="2" t="str">
        <x:v>1</x:v>
      </x:c>
      <x:c r="I40" s="2" t="str">
        <x:v>Reported</x:v>
      </x:c>
      <x:c r="J40" s="6" t="str">
        <x:v>All model uses have an identifiable model or service configuration.</x:v>
      </x:c>
      <x:c r="K40" s="2" t="str">
        <x:v>Partially reported</x:v>
      </x:c>
      <x:c r="L40" s="6" t="str">
        <x:v>0/1 model uses report all three access conditions; at least one condition is available for 1/1.</x:v>
      </x:c>
      <x:c r="M40" s="2" t="str">
        <x:v>NR</x:v>
      </x:c>
      <x:c r="N40" s="6" t="str">
        <x:v>Input construction is mentioned, but no prompt, template, or usable description is reported.</x:v>
      </x:c>
      <x:c r="O40" s="2" t="str">
        <x:v>NR</x:v>
      </x:c>
      <x:c r="P40" s="6" t="str">
        <x:v>Temperature, seed, repetitions, context window, and equivalent invocation controls are not reported.</x:v>
      </x:c>
      <x:c r="Q40" s="2" t="str">
        <x:v>NA</x:v>
      </x:c>
      <x:c r="R40" s="6" t="str">
        <x:v>No model fine-tuning or parameter adaptation is used; inference-time configuration is analysed separately.</x:v>
      </x:c>
    </x:row>
    <x:row r="41" ht="76" customHeight="1">
      <x:c r="A41" s="2" t="str">
        <x:v>S40</x:v>
      </x:c>
      <x:c r="B41" s="2" t="str">
        <x:v>merged_1263</x:v>
      </x:c>
      <x:c r="C41" s="2" t="str">
        <x:v>2026</x:v>
      </x:c>
      <x:c r="D41" s="2" t="str">
        <x:v>Published journal article</x:v>
      </x:c>
      <x:c r="E41" s="6" t="str">
        <x:v>A GraphRAG-Based Dual-Path Structural Diffusion Retrieval Framework for Requirement-Code Traceability Link Recovery</x:v>
      </x:c>
      <x:c r="F41" s="2" t="str">
        <x:v>3</x:v>
      </x:c>
      <x:c r="G41" s="2" t="str">
        <x:v>3</x:v>
      </x:c>
      <x:c r="H41" s="2" t="str">
        <x:v>3</x:v>
      </x:c>
      <x:c r="I41" s="2" t="str">
        <x:v>Reported</x:v>
      </x:c>
      <x:c r="J41" s="6" t="str">
        <x:v>All model uses have an identifiable model or service configuration.</x:v>
      </x:c>
      <x:c r="K41" s="2" t="str">
        <x:v>Reported</x:v>
      </x:c>
      <x:c r="L41" s="6" t="str">
        <x:v>Access class, access/deployment mode, and model access date are reported for all model uses.</x:v>
      </x:c>
      <x:c r="M41" s="2" t="str">
        <x:v>Reported</x:v>
      </x:c>
      <x:c r="N41" s="6" t="str">
        <x:v>Prompt or context construction is fully reported or provided as a template in all 3 relevant records.</x:v>
      </x:c>
      <x:c r="O41" s="2" t="str">
        <x:v>Partially reported</x:v>
      </x:c>
      <x:c r="P41" s="6" t="str">
        <x:v>0/3 model uses report the full invocation-control set; at least one control is available for 3/3.</x:v>
      </x:c>
      <x:c r="Q41" s="2" t="str">
        <x:v>NA</x:v>
      </x:c>
      <x:c r="R41" s="6" t="str">
        <x:v>No model fine-tuning or parameter adaptation is used; inference-time configuration is analysed separately.</x:v>
      </x:c>
    </x:row>
    <x:row r="42" ht="76" customHeight="1">
      <x:c r="A42" s="2" t="str">
        <x:v>S41</x:v>
      </x:c>
      <x:c r="B42" s="2" t="str">
        <x:v>merged_1264</x:v>
      </x:c>
      <x:c r="C42" s="2" t="str">
        <x:v>2026</x:v>
      </x:c>
      <x:c r="D42" s="2" t="str">
        <x:v>Published journal article</x:v>
      </x:c>
      <x:c r="E42" s="6" t="str">
        <x:v>SELink: A semantic-enhanced modular framework for issue–commit link recovery</x:v>
      </x:c>
      <x:c r="F42" s="2" t="str">
        <x:v>6</x:v>
      </x:c>
      <x:c r="G42" s="2" t="str">
        <x:v>6</x:v>
      </x:c>
      <x:c r="H42" s="2" t="str">
        <x:v>6</x:v>
      </x:c>
      <x:c r="I42" s="2" t="str">
        <x:v>Reported</x:v>
      </x:c>
      <x:c r="J42" s="6" t="str">
        <x:v>All model uses have an identifiable model or service configuration.</x:v>
      </x:c>
      <x:c r="K42" s="2" t="str">
        <x:v>Partially reported</x:v>
      </x:c>
      <x:c r="L42" s="6" t="str">
        <x:v>0/6 model uses report all three access conditions; at least one condition is available for 6/6.</x:v>
      </x:c>
      <x:c r="M42" s="2" t="str">
        <x:v>Reported</x:v>
      </x:c>
      <x:c r="N42" s="6" t="str">
        <x:v>Prompt or context construction is fully reported or provided as a template in all 6 relevant records.</x:v>
      </x:c>
      <x:c r="O42" s="2" t="str">
        <x:v>Partially reported</x:v>
      </x:c>
      <x:c r="P42" s="6" t="str">
        <x:v>0/6 model uses report the full invocation-control set; at least one control is available for 6/6.</x:v>
      </x:c>
      <x:c r="Q42" s="2" t="str">
        <x:v>NA</x:v>
      </x:c>
      <x:c r="R42" s="6" t="str">
        <x:v>No model fine-tuning or parameter adaptation is used; inference-time configuration is analysed separately.</x:v>
      </x:c>
    </x:row>
    <x:row r="43" ht="76" customHeight="1">
      <x:c r="A43" s="2" t="str">
        <x:v>S42</x:v>
      </x:c>
      <x:c r="B43" s="2" t="str">
        <x:v>merged_1266</x:v>
      </x:c>
      <x:c r="C43" s="2" t="str">
        <x:v>2025</x:v>
      </x:c>
      <x:c r="D43" s="2" t="str">
        <x:v>Published conference paper</x:v>
      </x:c>
      <x:c r="E43" s="6" t="str">
        <x:v>Requirements Traceability Link Recovery via Retrieval-Augmented Generation</x:v>
      </x:c>
      <x:c r="F43" s="2" t="str">
        <x:v>8</x:v>
      </x:c>
      <x:c r="G43" s="2" t="str">
        <x:v>8</x:v>
      </x:c>
      <x:c r="H43" s="2" t="str">
        <x:v>16</x:v>
      </x:c>
      <x:c r="I43" s="2" t="str">
        <x:v>Reported</x:v>
      </x:c>
      <x:c r="J43" s="6" t="str">
        <x:v>All model uses have an identifiable model or service configuration.</x:v>
      </x:c>
      <x:c r="K43" s="2" t="str">
        <x:v>Partially reported</x:v>
      </x:c>
      <x:c r="L43" s="6" t="str">
        <x:v>0/8 model uses report all three access conditions; at least one condition is available for 8/8.</x:v>
      </x:c>
      <x:c r="M43" s="2" t="str">
        <x:v>Partially reported</x:v>
      </x:c>
      <x:c r="N43" s="6" t="str">
        <x:v>8 full/template and 0 partial input-construction records are available; 8 remain unreported or unclear.</x:v>
      </x:c>
      <x:c r="O43" s="2" t="str">
        <x:v>Partially reported</x:v>
      </x:c>
      <x:c r="P43" s="6" t="str">
        <x:v>0/8 model uses report the full invocation-control set; at least one control is available for 8/8.</x:v>
      </x:c>
      <x:c r="Q43" s="2" t="str">
        <x:v>NA</x:v>
      </x:c>
      <x:c r="R43" s="6" t="str">
        <x:v>No model fine-tuning or parameter adaptation is used; inference-time configuration is analysed separately.</x:v>
      </x:c>
    </x:row>
    <x:row r="44" ht="76" customHeight="1">
      <x:c r="A44" s="2" t="str">
        <x:v>S43</x:v>
      </x:c>
      <x:c r="B44" s="2" t="str">
        <x:v>merged_1270</x:v>
      </x:c>
      <x:c r="C44" s="2" t="str">
        <x:v>2025</x:v>
      </x:c>
      <x:c r="D44" s="2" t="str">
        <x:v>Published conference paper</x:v>
      </x:c>
      <x:c r="E44" s="6" t="str">
        <x:v>HGTRTracer: Advancing Requirements-Code Traceability with LLM-Augmented Attribution Reasoning and Heterogeneous Graph Transformer</x:v>
      </x:c>
      <x:c r="F44" s="2" t="str">
        <x:v>4</x:v>
      </x:c>
      <x:c r="G44" s="2" t="str">
        <x:v>4</x:v>
      </x:c>
      <x:c r="H44" s="2" t="str">
        <x:v>1</x:v>
      </x:c>
      <x:c r="I44" s="2" t="str">
        <x:v>Reported</x:v>
      </x:c>
      <x:c r="J44" s="6" t="str">
        <x:v>All model uses have an identifiable model or service configuration.</x:v>
      </x:c>
      <x:c r="K44" s="2" t="str">
        <x:v>Partially reported</x:v>
      </x:c>
      <x:c r="L44" s="6" t="str">
        <x:v>0/4 model uses report all three access conditions; at least one condition is available for 4/4.</x:v>
      </x:c>
      <x:c r="M44" s="2" t="str">
        <x:v>Reported</x:v>
      </x:c>
      <x:c r="N44" s="6" t="str">
        <x:v>Prompt or context construction is fully reported or provided as a template in all 1 relevant records.</x:v>
      </x:c>
      <x:c r="O44" s="2" t="str">
        <x:v>NR</x:v>
      </x:c>
      <x:c r="P44" s="6" t="str">
        <x:v>Temperature, seed, repetitions, context window, and equivalent invocation controls are not reported.</x:v>
      </x:c>
      <x:c r="Q44" s="2" t="str">
        <x:v>NA</x:v>
      </x:c>
      <x:c r="R44" s="6" t="str">
        <x:v>No model fine-tuning or parameter adaptation is used; inference-time configuration is analysed separately.</x:v>
      </x:c>
    </x:row>
    <x:row r="45" ht="76" customHeight="1">
      <x:c r="A45" s="2" t="str">
        <x:v>S44</x:v>
      </x:c>
      <x:c r="B45" s="2" t="str">
        <x:v>merged_1274</x:v>
      </x:c>
      <x:c r="C45" s="2" t="str">
        <x:v>2025</x:v>
      </x:c>
      <x:c r="D45" s="2" t="str">
        <x:v>Published conference paper</x:v>
      </x:c>
      <x:c r="E45" s="6" t="str">
        <x:v>Enhancing Requirement-to-Code Traceability via Chain-of-Thought Prompting in Large Language Models</x:v>
      </x:c>
      <x:c r="F45" s="2" t="str">
        <x:v>2</x:v>
      </x:c>
      <x:c r="G45" s="2" t="str">
        <x:v>2</x:v>
      </x:c>
      <x:c r="H45" s="2" t="str">
        <x:v>2</x:v>
      </x:c>
      <x:c r="I45" s="2" t="str">
        <x:v>Reported</x:v>
      </x:c>
      <x:c r="J45" s="6" t="str">
        <x:v>All model uses have an identifiable model or service configuration.</x:v>
      </x:c>
      <x:c r="K45" s="2" t="str">
        <x:v>Partially reported</x:v>
      </x:c>
      <x:c r="L45" s="6" t="str">
        <x:v>0/2 model uses report all three access conditions; at least one condition is available for 2/2.</x:v>
      </x:c>
      <x:c r="M45" s="2" t="str">
        <x:v>Partially reported</x:v>
      </x:c>
      <x:c r="N45" s="6" t="str">
        <x:v>1 full/template and 0 partial input-construction records are available; 1 remain unreported or unclear.</x:v>
      </x:c>
      <x:c r="O45" s="2" t="str">
        <x:v>NR</x:v>
      </x:c>
      <x:c r="P45" s="6" t="str">
        <x:v>Temperature, seed, repetitions, context window, and equivalent invocation controls are not reported.</x:v>
      </x:c>
      <x:c r="Q45" s="2" t="str">
        <x:v>NA</x:v>
      </x:c>
      <x:c r="R45" s="6" t="str">
        <x:v>No model fine-tuning or parameter adaptation is used; inference-time configuration is analysed separately.</x:v>
      </x:c>
    </x:row>
    <x:row r="46" ht="76" customHeight="1">
      <x:c r="A46" s="2" t="str">
        <x:v>S45</x:v>
      </x:c>
      <x:c r="B46" s="2" t="str">
        <x:v>merged_1275</x:v>
      </x:c>
      <x:c r="C46" s="2" t="str">
        <x:v>2025</x:v>
      </x:c>
      <x:c r="D46" s="2" t="str">
        <x:v>Published workshop paper</x:v>
      </x:c>
      <x:c r="E46" s="6" t="str">
        <x:v>Evaluating the Capabilities of LLMs in Traceability Maintenance for Automotive System and Software Requirements</x:v>
      </x:c>
      <x:c r="F46" s="2" t="str">
        <x:v>5</x:v>
      </x:c>
      <x:c r="G46" s="2" t="str">
        <x:v>5</x:v>
      </x:c>
      <x:c r="H46" s="2" t="str">
        <x:v>6</x:v>
      </x:c>
      <x:c r="I46" s="2" t="str">
        <x:v>Reported</x:v>
      </x:c>
      <x:c r="J46" s="6" t="str">
        <x:v>All model uses have an identifiable model or service configuration.</x:v>
      </x:c>
      <x:c r="K46" s="2" t="str">
        <x:v>Partially reported</x:v>
      </x:c>
      <x:c r="L46" s="6" t="str">
        <x:v>0/5 model uses report all three access conditions; at least one condition is available for 5/5.</x:v>
      </x:c>
      <x:c r="M46" s="2" t="str">
        <x:v>Partially reported</x:v>
      </x:c>
      <x:c r="N46" s="6" t="str">
        <x:v>1 full/template and 4 partial input-construction records are available; 1 remain unreported or unclear.</x:v>
      </x:c>
      <x:c r="O46" s="2" t="str">
        <x:v>Partially reported</x:v>
      </x:c>
      <x:c r="P46" s="6" t="str">
        <x:v>0/5 model uses report the full invocation-control set; at least one control is available for 2/5.</x:v>
      </x:c>
      <x:c r="Q46" s="2" t="str">
        <x:v>NA</x:v>
      </x:c>
      <x:c r="R46" s="6" t="str">
        <x:v>No model fine-tuning or parameter adaptation is used; inference-time configuration is analysed separately.</x:v>
      </x:c>
    </x:row>
    <x:row r="47" ht="76" customHeight="1">
      <x:c r="A47" s="2" t="str">
        <x:v>S46</x:v>
      </x:c>
      <x:c r="B47" s="2" t="str">
        <x:v>merged_1293</x:v>
      </x:c>
      <x:c r="C47" s="2" t="str">
        <x:v>2025</x:v>
      </x:c>
      <x:c r="D47" s="2" t="str">
        <x:v>Published journal article</x:v>
      </x:c>
      <x:c r="E47" s="6" t="str">
        <x:v>Improving software development traceability with structured prompting</x:v>
      </x:c>
      <x:c r="F47" s="2" t="str">
        <x:v>50</x:v>
      </x:c>
      <x:c r="G47" s="2" t="str">
        <x:v>50</x:v>
      </x:c>
      <x:c r="H47" s="2" t="str">
        <x:v>50</x:v>
      </x:c>
      <x:c r="I47" s="2" t="str">
        <x:v>Partially reported</x:v>
      </x:c>
      <x:c r="J47" s="6" t="str">
        <x:v>50/50 model uses have identifiable model information; 30/50 have a specific normalized configuration.</x:v>
      </x:c>
      <x:c r="K47" s="2" t="str">
        <x:v>Partially reported</x:v>
      </x:c>
      <x:c r="L47" s="6" t="str">
        <x:v>30/50 model uses report all three access conditions; at least one condition is available for 50/50.</x:v>
      </x:c>
      <x:c r="M47" s="2" t="str">
        <x:v>Reported</x:v>
      </x:c>
      <x:c r="N47" s="6" t="str">
        <x:v>Prompt or context construction is fully reported or provided as a template in all 50 relevant records.</x:v>
      </x:c>
      <x:c r="O47" s="2" t="str">
        <x:v>NR</x:v>
      </x:c>
      <x:c r="P47" s="6" t="str">
        <x:v>Temperature, seed, repetitions, context window, and equivalent invocation controls are not reported.</x:v>
      </x:c>
      <x:c r="Q47" s="2" t="str">
        <x:v>NA</x:v>
      </x:c>
      <x:c r="R47" s="6" t="str">
        <x:v>No model fine-tuning or parameter adaptation is used; inference-time configuration is analysed separately.</x:v>
      </x:c>
    </x:row>
    <x:row r="48" ht="76" customHeight="1">
      <x:c r="A48" s="2" t="str">
        <x:v>S47</x:v>
      </x:c>
      <x:c r="B48" s="2" t="str">
        <x:v>merged_1302</x:v>
      </x:c>
      <x:c r="C48" s="2" t="str">
        <x:v>2026</x:v>
      </x:c>
      <x:c r="D48" s="2" t="str">
        <x:v>Preprint</x:v>
      </x:c>
      <x:c r="E48" s="6" t="str">
        <x:v>SpecMap: Hierarchical LLM Agent for Datasheet-to-Code Traceability Link Recovery in Systems Engineering</x:v>
      </x:c>
      <x:c r="F48" s="2" t="str">
        <x:v>5</x:v>
      </x:c>
      <x:c r="G48" s="2" t="str">
        <x:v>5</x:v>
      </x:c>
      <x:c r="H48" s="2" t="str">
        <x:v>2</x:v>
      </x:c>
      <x:c r="I48" s="2" t="str">
        <x:v>Reported</x:v>
      </x:c>
      <x:c r="J48" s="6" t="str">
        <x:v>All model uses have an identifiable model or service configuration.</x:v>
      </x:c>
      <x:c r="K48" s="2" t="str">
        <x:v>Partially reported</x:v>
      </x:c>
      <x:c r="L48" s="6" t="str">
        <x:v>0/5 model uses report all three access conditions; at least one condition is available for 5/5.</x:v>
      </x:c>
      <x:c r="M48" s="2" t="str">
        <x:v>NR</x:v>
      </x:c>
      <x:c r="N48" s="6" t="str">
        <x:v>Input construction is mentioned, but no prompt, template, or usable description is reported.</x:v>
      </x:c>
      <x:c r="O48" s="2" t="str">
        <x:v>NR</x:v>
      </x:c>
      <x:c r="P48" s="6" t="str">
        <x:v>Temperature, seed, repetitions, context window, and equivalent invocation controls are not reported.</x:v>
      </x:c>
      <x:c r="Q48" s="2" t="str">
        <x:v>NA</x:v>
      </x:c>
      <x:c r="R48" s="6" t="str">
        <x:v>No model fine-tuning or parameter adaptation is used; inference-time configuration is analysed separately.</x:v>
      </x:c>
    </x:row>
    <x:row r="49" ht="76" customHeight="1">
      <x:c r="A49" s="2" t="str">
        <x:v>S48</x:v>
      </x:c>
      <x:c r="B49" s="2" t="str">
        <x:v>merged_1441</x:v>
      </x:c>
      <x:c r="C49" s="2" t="str">
        <x:v>2026</x:v>
      </x:c>
      <x:c r="D49" s="2" t="str">
        <x:v>Published journal article</x:v>
      </x:c>
      <x:c r="E49" s="6" t="str">
        <x:v>LHGLink: LLM—Enhanced Heterogeneous Graph Learning for Issue–Issue Link Prediction</x:v>
      </x:c>
      <x:c r="F49" s="2" t="str">
        <x:v>2</x:v>
      </x:c>
      <x:c r="G49" s="2" t="str">
        <x:v>2</x:v>
      </x:c>
      <x:c r="H49" s="2" t="str">
        <x:v>2</x:v>
      </x:c>
      <x:c r="I49" s="2" t="str">
        <x:v>Reported</x:v>
      </x:c>
      <x:c r="J49" s="6" t="str">
        <x:v>All model uses have an identifiable model or service configuration.</x:v>
      </x:c>
      <x:c r="K49" s="2" t="str">
        <x:v>Partially reported</x:v>
      </x:c>
      <x:c r="L49" s="6" t="str">
        <x:v>0/2 model uses report all three access conditions; at least one condition is available for 2/2.</x:v>
      </x:c>
      <x:c r="M49" s="2" t="str">
        <x:v>Reported</x:v>
      </x:c>
      <x:c r="N49" s="6" t="str">
        <x:v>Prompt or context construction is fully reported or provided as a template in all 1 relevant records.</x:v>
      </x:c>
      <x:c r="O49" s="2" t="str">
        <x:v>Partially reported</x:v>
      </x:c>
      <x:c r="P49" s="6" t="str">
        <x:v>0/2 model uses report the full invocation-control set; at least one control is available for 1/2.</x:v>
      </x:c>
      <x:c r="Q49" s="2" t="str">
        <x:v>NA</x:v>
      </x:c>
      <x:c r="R49" s="6" t="str">
        <x:v>No model fine-tuning or parameter adaptation is used; inference-time configuration is analysed separately.</x:v>
      </x:c>
    </x:row>
    <x:row r="50" ht="76" customHeight="1">
      <x:c r="A50" s="2" t="str">
        <x:v>S49</x:v>
      </x:c>
      <x:c r="B50" s="2" t="str">
        <x:v>merged_1486</x:v>
      </x:c>
      <x:c r="C50" s="2" t="str">
        <x:v>2024</x:v>
      </x:c>
      <x:c r="D50" s="2" t="str">
        <x:v>Published conference paper</x:v>
      </x:c>
      <x:c r="E50" s="6" t="str">
        <x:v>Requirements Engineering Using Generative AI: Prompts and Prompting Patterns</x:v>
      </x:c>
      <x:c r="F50" s="2" t="str">
        <x:v>5</x:v>
      </x:c>
      <x:c r="G50" s="2" t="str">
        <x:v>5</x:v>
      </x:c>
      <x:c r="H50" s="2" t="str">
        <x:v>5</x:v>
      </x:c>
      <x:c r="I50" s="2" t="str">
        <x:v>Reported</x:v>
      </x:c>
      <x:c r="J50" s="6" t="str">
        <x:v>All model uses have an identifiable model or service configuration.</x:v>
      </x:c>
      <x:c r="K50" s="2" t="str">
        <x:v>Partially reported</x:v>
      </x:c>
      <x:c r="L50" s="6" t="str">
        <x:v>0/5 model uses report all three access conditions; at least one condition is available for 5/5.</x:v>
      </x:c>
      <x:c r="M50" s="2" t="str">
        <x:v>Reported</x:v>
      </x:c>
      <x:c r="N50" s="6" t="str">
        <x:v>Prompt or context construction is fully reported or provided as a template in all 5 relevant records.</x:v>
      </x:c>
      <x:c r="O50" s="2" t="str">
        <x:v>Partially reported</x:v>
      </x:c>
      <x:c r="P50" s="6" t="str">
        <x:v>0/5 model uses report the full invocation-control set; at least one control is available for 5/5.</x:v>
      </x:c>
      <x:c r="Q50" s="2" t="str">
        <x:v>NA</x:v>
      </x:c>
      <x:c r="R50" s="6" t="str">
        <x:v>No model fine-tuning or parameter adaptation is used; inference-time configuration is analysed separately.</x:v>
      </x:c>
    </x:row>
    <x:row r="51" ht="76" customHeight="1">
      <x:c r="A51" s="2" t="str">
        <x:v>S50</x:v>
      </x:c>
      <x:c r="B51" s="2" t="str">
        <x:v>snowball_00068</x:v>
      </x:c>
      <x:c r="C51" s="2" t="str">
        <x:v>2025</x:v>
      </x:c>
      <x:c r="D51" s="2" t="str">
        <x:v>Published conference paper</x:v>
      </x:c>
      <x:c r="E51" s="6" t="str">
        <x:v>Leveraging LLMs and Knowledge Graphs to Design Secure Automation Systems</x:v>
      </x:c>
      <x:c r="F51" s="2" t="str">
        <x:v>2</x:v>
      </x:c>
      <x:c r="G51" s="2" t="str">
        <x:v>2</x:v>
      </x:c>
      <x:c r="H51" s="2" t="str">
        <x:v>5</x:v>
      </x:c>
      <x:c r="I51" s="2" t="str">
        <x:v>Reported</x:v>
      </x:c>
      <x:c r="J51" s="6" t="str">
        <x:v>All model uses have an identifiable model or service configuration.</x:v>
      </x:c>
      <x:c r="K51" s="2" t="str">
        <x:v>Partially reported</x:v>
      </x:c>
      <x:c r="L51" s="6" t="str">
        <x:v>0/2 model uses report all three access conditions; at least one condition is available for 2/2.</x:v>
      </x:c>
      <x:c r="M51" s="2" t="str">
        <x:v>Partially reported</x:v>
      </x:c>
      <x:c r="N51" s="6" t="str">
        <x:v>0 full/template and 3 partial input-construction records are available; 2 remain unreported or unclear.</x:v>
      </x:c>
      <x:c r="O51" s="2" t="str">
        <x:v>Partially reported</x:v>
      </x:c>
      <x:c r="P51" s="6" t="str">
        <x:v>0/2 model uses report the full invocation-control set; at least one control is available for 2/2.</x:v>
      </x:c>
      <x:c r="Q51" s="2" t="str">
        <x:v>NA</x:v>
      </x:c>
      <x:c r="R51" s="6" t="str">
        <x:v>No model fine-tuning or parameter adaptation is used; inference-time configuration is analysed separately.</x:v>
      </x:c>
    </x:row>
    <x:row r="52" ht="76" customHeight="1">
      <x:c r="A52" s="2" t="str">
        <x:v>S51</x:v>
      </x:c>
      <x:c r="B52" s="2" t="str">
        <x:v>snowball_00085</x:v>
      </x:c>
      <x:c r="C52" s="2" t="str">
        <x:v>2024</x:v>
      </x:c>
      <x:c r="D52" s="2" t="str">
        <x:v>Published conference paper</x:v>
      </x:c>
      <x:c r="E52" s="6" t="str">
        <x:v>Exploring LLMs for Verifying Technical System Specifications Against Requirements</x:v>
      </x:c>
      <x:c r="F52" s="2" t="str">
        <x:v>4</x:v>
      </x:c>
      <x:c r="G52" s="2" t="str">
        <x:v>4</x:v>
      </x:c>
      <x:c r="H52" s="2" t="str">
        <x:v>3</x:v>
      </x:c>
      <x:c r="I52" s="2" t="str">
        <x:v>Reported</x:v>
      </x:c>
      <x:c r="J52" s="6" t="str">
        <x:v>All model uses have an identifiable model or service configuration.</x:v>
      </x:c>
      <x:c r="K52" s="2" t="str">
        <x:v>Reported</x:v>
      </x:c>
      <x:c r="L52" s="6" t="str">
        <x:v>Access class, access/deployment mode, and model access date are reported for all model uses.</x:v>
      </x:c>
      <x:c r="M52" s="2" t="str">
        <x:v>Partially reported</x:v>
      </x:c>
      <x:c r="N52" s="6" t="str">
        <x:v>0 full/template and 3 partial input-construction records are available; 0 remain unreported or unclear.</x:v>
      </x:c>
      <x:c r="O52" s="2" t="str">
        <x:v>Partially reported</x:v>
      </x:c>
      <x:c r="P52" s="6" t="str">
        <x:v>0/4 model uses report the full invocation-control set; at least one control is available for 4/4.</x:v>
      </x:c>
      <x:c r="Q52" s="2" t="str">
        <x:v>NA</x:v>
      </x:c>
      <x:c r="R52" s="6" t="str">
        <x:v>No model fine-tuning or parameter adaptation is used; inference-time configuration is analysed separately.</x:v>
      </x:c>
    </x:row>
    <x:row r="53" ht="76" customHeight="1">
      <x:c r="A53" s="2" t="str">
        <x:v>S52</x:v>
      </x:c>
      <x:c r="B53" s="2" t="str">
        <x:v>snowball_00095</x:v>
      </x:c>
      <x:c r="C53" s="2" t="str">
        <x:v>2024</x:v>
      </x:c>
      <x:c r="D53" s="2" t="str">
        <x:v>Published conference paper</x:v>
      </x:c>
      <x:c r="E53" s="6" t="str">
        <x:v>Supporting Software Maintenance with Dynamically Generated Document Hierarchies</x:v>
      </x:c>
      <x:c r="F53" s="2" t="str">
        <x:v>2</x:v>
      </x:c>
      <x:c r="G53" s="2" t="str">
        <x:v>2</x:v>
      </x:c>
      <x:c r="H53" s="2" t="str">
        <x:v>3</x:v>
      </x:c>
      <x:c r="I53" s="2" t="str">
        <x:v>Reported</x:v>
      </x:c>
      <x:c r="J53" s="6" t="str">
        <x:v>All model uses have an identifiable model or service configuration.</x:v>
      </x:c>
      <x:c r="K53" s="2" t="str">
        <x:v>Partially reported</x:v>
      </x:c>
      <x:c r="L53" s="6" t="str">
        <x:v>0/2 model uses report all three access conditions; at least one condition is available for 2/2.</x:v>
      </x:c>
      <x:c r="M53" s="2" t="str">
        <x:v>Partially reported</x:v>
      </x:c>
      <x:c r="N53" s="6" t="str">
        <x:v>0 full/template and 3 partial input-construction records are available; 0 remain unreported or unclear.</x:v>
      </x:c>
      <x:c r="O53" s="2" t="str">
        <x:v>Partially reported</x:v>
      </x:c>
      <x:c r="P53" s="6" t="str">
        <x:v>0/2 model uses report the full invocation-control set; at least one control is available for 2/2.</x:v>
      </x:c>
      <x:c r="Q53" s="2" t="str">
        <x:v>NA</x:v>
      </x:c>
      <x:c r="R53" s="6" t="str">
        <x:v>No model fine-tuning or parameter adaptation is used; inference-time configuration is analysed separately.</x:v>
      </x:c>
    </x:row>
    <x:row r="54" ht="76" customHeight="1">
      <x:c r="A54" s="2" t="str">
        <x:v>S53</x:v>
      </x:c>
      <x:c r="B54" s="2" t="str">
        <x:v>merged_1229</x:v>
      </x:c>
      <x:c r="C54" s="2" t="str">
        <x:v>2025</x:v>
      </x:c>
      <x:c r="D54" s="2" t="str">
        <x:v>Published conference paper</x:v>
      </x:c>
      <x:c r="E54" s="6" t="str">
        <x:v>Evaluating LLMs for Automated Requirement and Test Case Generation in Railway Signaling Systems</x:v>
      </x:c>
      <x:c r="F54" s="2" t="str">
        <x:v>12</x:v>
      </x:c>
      <x:c r="G54" s="2" t="str">
        <x:v>12</x:v>
      </x:c>
      <x:c r="H54" s="2" t="str">
        <x:v>4</x:v>
      </x:c>
      <x:c r="I54" s="2" t="str">
        <x:v>Reported</x:v>
      </x:c>
      <x:c r="J54" s="6" t="str">
        <x:v>All model uses have an identifiable model or service configuration.</x:v>
      </x:c>
      <x:c r="K54" s="2" t="str">
        <x:v>Partially reported</x:v>
      </x:c>
      <x:c r="L54" s="6" t="str">
        <x:v>0/12 model uses report all three access conditions; at least one condition is available for 12/12.</x:v>
      </x:c>
      <x:c r="M54" s="2" t="str">
        <x:v>Reported</x:v>
      </x:c>
      <x:c r="N54" s="6" t="str">
        <x:v>Prompt or context construction is fully reported or provided as a template in all 4 relevant records.</x:v>
      </x:c>
      <x:c r="O54" s="2" t="str">
        <x:v>NR</x:v>
      </x:c>
      <x:c r="P54" s="6" t="str">
        <x:v>Temperature, seed, repetitions, context window, and equivalent invocation controls are not reported.</x:v>
      </x:c>
      <x:c r="Q54" s="2" t="str">
        <x:v>NA</x:v>
      </x:c>
      <x:c r="R54" s="6" t="str">
        <x:v>No model fine-tuning or parameter adaptation is used; inference-time configuration is analysed separately.</x:v>
      </x:c>
    </x:row>
    <x:row r="55" ht="76" customHeight="1">
      <x:c r="A55" s="2" t="str">
        <x:v>G1</x:v>
      </x:c>
      <x:c r="B55" s="2" t="str">
        <x:v>G1</x:v>
      </x:c>
      <x:c r="C55" s="2" t="str">
        <x:v>2023</x:v>
      </x:c>
      <x:c r="D55" s="2" t="str">
        <x:v>Grey literature</x:v>
      </x:c>
      <x:c r="E55" s="6" t="str">
        <x:v>Create Requirement Traceability Matrix in Seconds with ChatGPT</x:v>
      </x:c>
      <x:c r="F55" s="2" t="n">
        <x:v>3</x:v>
      </x:c>
      <x:c r="G55" s="2" t="n">
        <x:v>3</x:v>
      </x:c>
      <x:c r="H55" s="2" t="str">
        <x:v>NR</x:v>
      </x:c>
      <x:c r="I55" s="2" t="str">
        <x:v>Reported</x:v>
      </x:c>
      <x:c r="J55" s="6" t="str">
        <x:v>ChatGPT3.5/4 are identifiable service configurations; closed access is known; in-chat instructions and handoff are partially described; no stochastic control.</x:v>
      </x:c>
      <x:c r="K55" s="2" t="str">
        <x:v>Partially reported</x:v>
      </x:c>
      <x:c r="L55" s="6" t="str">
        <x:v>ChatGPT3.5/4 are identifiable service configurations; closed access is known; in-chat instructions and handoff are partially described; no stochastic control.</x:v>
      </x:c>
      <x:c r="M55" s="2" t="str">
        <x:v>Partially reported</x:v>
      </x:c>
      <x:c r="N55" s="6" t="str">
        <x:v>ChatGPT3.5/4 are identifiable service configurations; closed access is known; in-chat instructions and handoff are partially described; no stochastic control.</x:v>
      </x:c>
      <x:c r="O55" s="2" t="str">
        <x:v>NR</x:v>
      </x:c>
      <x:c r="P55" s="6" t="str">
        <x:v>ChatGPT3.5/4 are identifiable service configurations; closed access is known; in-chat instructions and handoff are partially described; no stochastic control.</x:v>
      </x:c>
      <x:c r="Q55" s="2" t="str">
        <x:v>NA</x:v>
      </x:c>
      <x:c r="R55" s="6" t="str">
        <x:v>No target-model parameter adaptation is implemented.</x:v>
      </x:c>
    </x:row>
    <x:row r="56" ht="76" customHeight="1">
      <x:c r="A56" s="2" t="str">
        <x:v>G2</x:v>
      </x:c>
      <x:c r="B56" s="2" t="str">
        <x:v>G2</x:v>
      </x:c>
      <x:c r="C56" s="2" t="str">
        <x:v>2024</x:v>
      </x:c>
      <x:c r="D56" s="2" t="str">
        <x:v>Grey literature</x:v>
      </x:c>
      <x:c r="E56" s="6" t="str">
        <x:v>Traceability and AI for Better Understanding, Communication, and QC of Trials</x:v>
      </x:c>
      <x:c r="F56" s="2" t="n">
        <x:v>3</x:v>
      </x:c>
      <x:c r="G56" s="2" t="n">
        <x:v>0</x:v>
      </x:c>
      <x:c r="H56" s="2" t="str">
        <x:v>NR</x:v>
      </x:c>
      <x:c r="I56" s="2" t="str">
        <x:v>NR</x:v>
      </x:c>
      <x:c r="J56" s="6" t="str">
        <x:v>No demonstrated target model or access condition is identified; retrieval and enriched context are described; no stochastic control.</x:v>
      </x:c>
      <x:c r="K56" s="2" t="str">
        <x:v>NR</x:v>
      </x:c>
      <x:c r="L56" s="6" t="str">
        <x:v>No demonstrated target model or access condition is identified; retrieval and enriched context are described; no stochastic control.</x:v>
      </x:c>
      <x:c r="M56" s="2" t="str">
        <x:v>Partially reported</x:v>
      </x:c>
      <x:c r="N56" s="6" t="str">
        <x:v>No demonstrated target model or access condition is identified; retrieval and enriched context are described; no stochastic control.</x:v>
      </x:c>
      <x:c r="O56" s="2" t="str">
        <x:v>NR</x:v>
      </x:c>
      <x:c r="P56" s="6" t="str">
        <x:v>No demonstrated target model or access condition is identified; retrieval and enriched context are described; no stochastic control.</x:v>
      </x:c>
      <x:c r="Q56" s="2" t="str">
        <x:v>NA</x:v>
      </x:c>
      <x:c r="R56" s="6" t="str">
        <x:v>No target-model parameter adaptation is implemented.</x:v>
      </x:c>
    </x:row>
    <x:row r="57" ht="76" customHeight="1">
      <x:c r="A57" s="2" t="str">
        <x:v>G3</x:v>
      </x:c>
      <x:c r="B57" s="2" t="str">
        <x:v>G3</x:v>
      </x:c>
      <x:c r="C57" s="2" t="str">
        <x:v>2025</x:v>
      </x:c>
      <x:c r="D57" s="2" t="str">
        <x:v>Grey literature</x:v>
      </x:c>
      <x:c r="E57" s="6" t="str">
        <x:v>ReqTrace: Intelligent Traceability System for Software Engineering Projects</x:v>
      </x:c>
      <x:c r="F57" s="2" t="n">
        <x:v>1</x:v>
      </x:c>
      <x:c r="G57" s="2" t="n">
        <x:v>0</x:v>
      </x:c>
      <x:c r="H57" s="2" t="str">
        <x:v>NR</x:v>
      </x:c>
      <x:c r="I57" s="2" t="str">
        <x:v>NR</x:v>
      </x:c>
      <x:c r="J57" s="6" t="str">
        <x:v>Whisper is auxiliary speech recognition and excluded as target LLM; transcript/embedding input is partially described; target LLM access and controls absent.</x:v>
      </x:c>
      <x:c r="K57" s="2" t="str">
        <x:v>NR</x:v>
      </x:c>
      <x:c r="L57" s="6" t="str">
        <x:v>Whisper is auxiliary speech recognition and excluded as target LLM; transcript/embedding input is partially described; target LLM access and controls absent.</x:v>
      </x:c>
      <x:c r="M57" s="2" t="str">
        <x:v>Partially reported</x:v>
      </x:c>
      <x:c r="N57" s="6" t="str">
        <x:v>Whisper is auxiliary speech recognition and excluded as target LLM; transcript/embedding input is partially described; target LLM access and controls absent.</x:v>
      </x:c>
      <x:c r="O57" s="2" t="str">
        <x:v>NR</x:v>
      </x:c>
      <x:c r="P57" s="6" t="str">
        <x:v>Whisper is auxiliary speech recognition and excluded as target LLM; transcript/embedding input is partially described; target LLM access and controls absent.</x:v>
      </x:c>
      <x:c r="Q57" s="2" t="str">
        <x:v>NA</x:v>
      </x:c>
      <x:c r="R57" s="6" t="str">
        <x:v>No target-model parameter adaptation is implemented.</x:v>
      </x:c>
    </x:row>
    <x:row r="58" ht="76" customHeight="1">
      <x:c r="A58" s="2" t="str">
        <x:v>G4</x:v>
      </x:c>
      <x:c r="B58" s="2" t="str">
        <x:v>G4</x:v>
      </x:c>
      <x:c r="C58" s="2" t="str">
        <x:v>2026</x:v>
      </x:c>
      <x:c r="D58" s="2" t="str">
        <x:v>Grey literature</x:v>
      </x:c>
      <x:c r="E58" s="6" t="str">
        <x:v>VectorCAST + AI (Reqs2x)</x:v>
      </x:c>
      <x:c r="F58" s="2" t="n">
        <x:v>2</x:v>
      </x:c>
      <x:c r="G58" s="2" t="n">
        <x:v>0</x:v>
      </x:c>
      <x:c r="H58" s="2" t="str">
        <x:v>NR</x:v>
      </x:c>
      <x:c r="I58" s="2" t="str">
        <x:v>NR</x:v>
      </x:c>
      <x:c r="J58" s="6" t="str">
        <x:v>Customer-selected unspecified model; local/cloud/hybrid deployment stated; microagent scope does not supply a reusable input description; no stochastic control.</x:v>
      </x:c>
      <x:c r="K58" s="2" t="str">
        <x:v>Partially reported</x:v>
      </x:c>
      <x:c r="L58" s="6" t="str">
        <x:v>Customer-selected unspecified model; local/cloud/hybrid deployment stated; microagent scope does not supply a reusable input description; no stochastic control.</x:v>
      </x:c>
      <x:c r="M58" s="2" t="str">
        <x:v>NR</x:v>
      </x:c>
      <x:c r="N58" s="6" t="str">
        <x:v>Customer-selected unspecified model; local/cloud/hybrid deployment stated; microagent scope does not supply a reusable input description; no stochastic control.</x:v>
      </x:c>
      <x:c r="O58" s="2" t="str">
        <x:v>NR</x:v>
      </x:c>
      <x:c r="P58" s="6" t="str">
        <x:v>Customer-selected unspecified model; local/cloud/hybrid deployment stated; microagent scope does not supply a reusable input description; no stochastic control.</x:v>
      </x:c>
      <x:c r="Q58" s="2" t="str">
        <x:v>NA</x:v>
      </x:c>
      <x:c r="R58" s="6" t="str">
        <x:v>No target-model parameter adaptation is implemented.</x:v>
      </x:c>
    </x:row>
    <x:row r="59" ht="76" customHeight="1">
      <x:c r="A59" s="2" t="str">
        <x:v>G5</x:v>
      </x:c>
      <x:c r="B59" s="2" t="str">
        <x:v>G5</x:v>
      </x:c>
      <x:c r="C59" s="2" t="str">
        <x:v>2026</x:v>
      </x:c>
      <x:c r="D59" s="2" t="str">
        <x:v>Grey literature</x:v>
      </x:c>
      <x:c r="E59" s="6" t="str">
        <x:v>LLM Assisted Automatic Test Generation and Requirements Traceability</x:v>
      </x:c>
      <x:c r="F59" s="2" t="n">
        <x:v>3</x:v>
      </x:c>
      <x:c r="G59" s="2" t="n">
        <x:v>0</x:v>
      </x:c>
      <x:c r="H59" s="2" t="str">
        <x:v>NR</x:v>
      </x:c>
      <x:c r="I59" s="2" t="str">
        <x:v>NR</x:v>
      </x:c>
      <x:c r="J59" s="6" t="str">
        <x:v>Target model/access unspecified; RAG and tool workflow described without full prompts; no stochastic control.</x:v>
      </x:c>
      <x:c r="K59" s="2" t="str">
        <x:v>NR</x:v>
      </x:c>
      <x:c r="L59" s="6" t="str">
        <x:v>Target model/access unspecified; RAG and tool workflow described without full prompts; no stochastic control.</x:v>
      </x:c>
      <x:c r="M59" s="2" t="str">
        <x:v>Partially reported</x:v>
      </x:c>
      <x:c r="N59" s="6" t="str">
        <x:v>Target model/access unspecified; RAG and tool workflow described without full prompts; no stochastic control.</x:v>
      </x:c>
      <x:c r="O59" s="2" t="str">
        <x:v>NR</x:v>
      </x:c>
      <x:c r="P59" s="6" t="str">
        <x:v>Target model/access unspecified; RAG and tool workflow described without full prompts; no stochastic control.</x:v>
      </x:c>
      <x:c r="Q59" s="2" t="str">
        <x:v>NA</x:v>
      </x:c>
      <x:c r="R59" s="6" t="str">
        <x:v>No target-model parameter adaptation is implemented.</x:v>
      </x:c>
    </x:row>
    <x:row r="60" ht="76" customHeight="1">
      <x:c r="A60" s="2" t="str">
        <x:v>G6</x:v>
      </x:c>
      <x:c r="B60" s="2" t="str">
        <x:v>G6</x:v>
      </x:c>
      <x:c r="C60" s="2" t="str">
        <x:v>2026</x:v>
      </x:c>
      <x:c r="D60" s="2" t="str">
        <x:v>Grey literature</x:v>
      </x:c>
      <x:c r="E60" s="6" t="str">
        <x:v>LLM-Assisted Automatic MC/DC Test Generation &amp; Requirements Traceability for Long-Duration NASA FSW</x:v>
      </x:c>
      <x:c r="F60" s="2" t="n">
        <x:v>3</x:v>
      </x:c>
      <x:c r="G60" s="2" t="n">
        <x:v>0</x:v>
      </x:c>
      <x:c r="H60" s="2" t="str">
        <x:v>NR</x:v>
      </x:c>
      <x:c r="I60" s="2" t="str">
        <x:v>NR</x:v>
      </x:c>
      <x:c r="J60" s="6" t="str">
        <x:v>Target model/access unspecified; truth table,test template,and prior examples describe inputs partially; no stochastic control.</x:v>
      </x:c>
      <x:c r="K60" s="2" t="str">
        <x:v>NR</x:v>
      </x:c>
      <x:c r="L60" s="6" t="str">
        <x:v>Target model/access unspecified; truth table,test template,and prior examples describe inputs partially; no stochastic control.</x:v>
      </x:c>
      <x:c r="M60" s="2" t="str">
        <x:v>Partially reported</x:v>
      </x:c>
      <x:c r="N60" s="6" t="str">
        <x:v>Target model/access unspecified; truth table,test template,and prior examples describe inputs partially; no stochastic control.</x:v>
      </x:c>
      <x:c r="O60" s="2" t="str">
        <x:v>NR</x:v>
      </x:c>
      <x:c r="P60" s="6" t="str">
        <x:v>Target model/access unspecified; truth table,test template,and prior examples describe inputs partially; no stochastic control.</x:v>
      </x:c>
      <x:c r="Q60" s="2" t="str">
        <x:v>NA</x:v>
      </x:c>
      <x:c r="R60" s="6" t="str">
        <x:v>No target-model parameter adaptation is implemented.</x:v>
      </x:c>
    </x:row>
    <x:row r="61" ht="76" customHeight="1">
      <x:c r="A61" s="2" t="str">
        <x:v>G7</x:v>
      </x:c>
      <x:c r="B61" s="2" t="str">
        <x:v>G7</x:v>
      </x:c>
      <x:c r="C61" s="2" t="str">
        <x:v>2026</x:v>
      </x:c>
      <x:c r="D61" s="2" t="str">
        <x:v>Grey literature</x:v>
      </x:c>
      <x:c r="E61" s="6" t="str">
        <x:v>AI-supported traceability and automation with Sphinx-Needs</x:v>
      </x:c>
      <x:c r="F61" s="2" t="n">
        <x:v>4</x:v>
      </x:c>
      <x:c r="G61" s="2" t="n">
        <x:v>0</x:v>
      </x:c>
      <x:c r="H61" s="2" t="str">
        <x:v>NR</x:v>
      </x:c>
      <x:c r="I61" s="2" t="str">
        <x:v>NR</x:v>
      </x:c>
      <x:c r="J61" s="6" t="str">
        <x:v>Target model/access unspecified; graph query,instructions,and tools describe partial inputs; no stochastic control.</x:v>
      </x:c>
      <x:c r="K61" s="2" t="str">
        <x:v>NR</x:v>
      </x:c>
      <x:c r="L61" s="6" t="str">
        <x:v>Target model/access unspecified; graph query,instructions,and tools describe partial inputs; no stochastic control.</x:v>
      </x:c>
      <x:c r="M61" s="2" t="str">
        <x:v>Partially reported</x:v>
      </x:c>
      <x:c r="N61" s="6" t="str">
        <x:v>Target model/access unspecified; graph query,instructions,and tools describe partial inputs; no stochastic control.</x:v>
      </x:c>
      <x:c r="O61" s="2" t="str">
        <x:v>NR</x:v>
      </x:c>
      <x:c r="P61" s="6" t="str">
        <x:v>Target model/access unspecified; graph query,instructions,and tools describe partial inputs; no stochastic control.</x:v>
      </x:c>
      <x:c r="Q61" s="2" t="str">
        <x:v>NA</x:v>
      </x:c>
      <x:c r="R61" s="6" t="str">
        <x:v>No target-model parameter adaptation is implemented.</x:v>
      </x:c>
    </x:row>
    <x:row r="62" ht="76" customHeight="1">
      <x:c r="A62" s="2" t="str">
        <x:v>G8</x:v>
      </x:c>
      <x:c r="B62" s="2" t="str">
        <x:v>G8</x:v>
      </x:c>
      <x:c r="C62" s="2" t="str">
        <x:v>2026</x:v>
      </x:c>
      <x:c r="D62" s="2" t="str">
        <x:v>Grey literature</x:v>
      </x:c>
      <x:c r="E62" s="6" t="str">
        <x:v>Building an AI Traceability Agent for Flight Software</x:v>
      </x:c>
      <x:c r="F62" s="2" t="n">
        <x:v>2</x:v>
      </x:c>
      <x:c r="G62" s="2" t="n">
        <x:v>2</x:v>
      </x:c>
      <x:c r="H62" s="2" t="str">
        <x:v>NR</x:v>
      </x:c>
      <x:c r="I62" s="2" t="str">
        <x:v>Partially reported</x:v>
      </x:c>
      <x:c r="J62" s="6" t="str">
        <x:v>Claude API gives generic service label and API access; file-scoping and per-requirement calls partially describe inputs; no stochastic control.</x:v>
      </x:c>
      <x:c r="K62" s="2" t="str">
        <x:v>Partially reported</x:v>
      </x:c>
      <x:c r="L62" s="6" t="str">
        <x:v>Claude API gives generic service label and API access; file-scoping and per-requirement calls partially describe inputs; no stochastic control.</x:v>
      </x:c>
      <x:c r="M62" s="2" t="str">
        <x:v>Partially reported</x:v>
      </x:c>
      <x:c r="N62" s="6" t="str">
        <x:v>Claude API gives generic service label and API access; file-scoping and per-requirement calls partially describe inputs; no stochastic control.</x:v>
      </x:c>
      <x:c r="O62" s="2" t="str">
        <x:v>NR</x:v>
      </x:c>
      <x:c r="P62" s="6" t="str">
        <x:v>Claude API gives generic service label and API access; file-scoping and per-requirement calls partially describe inputs; no stochastic control.</x:v>
      </x:c>
      <x:c r="Q62" s="2" t="str">
        <x:v>NA</x:v>
      </x:c>
      <x:c r="R62" s="6" t="str">
        <x:v>No target-model parameter adaptation is implemented.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s>
  <x:sheetData>
    <x:row r="1" ht="38" customHeight="1">
      <x:c r="A1" s="5" t="str">
        <x:v>RQ4 Configuration Summary</x:v>
      </x:c>
      <x:c r="B1" s="5"/>
      <x:c r="C1" s="5"/>
      <x:c r="D1" s="5"/>
      <x:c r="E1" s="5"/>
      <x:c r="F1" s="5"/>
    </x:row>
    <x:row r="2" ht="23" customHeight="1">
      <x:c r="A2" s="2"/>
      <x:c r="B2" s="2"/>
      <x:c r="C2" s="2"/>
      <x:c r="D2" s="2"/>
      <x:c r="E2" s="2"/>
      <x:c r="F2" s="2"/>
    </x:row>
    <x:row r="3" ht="28" customHeight="1">
      <x:c r="A3" s="2" t="str">
        <x:v>Model family distribution among 255 identifiable model uses</x:v>
      </x:c>
      <x:c r="B3" s="2"/>
      <x:c r="C3" s="2"/>
      <x:c r="D3" s="2"/>
      <x:c r="E3" s="2"/>
      <x:c r="F3" s="2"/>
    </x:row>
    <x:row r="4" ht="23" customHeight="1">
      <x:c r="A4" s="2" t="str">
        <x:v>Model family</x:v>
      </x:c>
      <x:c r="B4" s="2" t="str">
        <x:v>Model uses</x:v>
      </x:c>
      <x:c r="C4" s="2" t="str">
        <x:v>% identifiable uses</x:v>
      </x:c>
      <x:c r="D4" s="2" t="str">
        <x:v>Studies</x:v>
      </x:c>
      <x:c r="E4" s="2" t="str">
        <x:v>% studies</x:v>
      </x:c>
      <x:c r="F4" s="2" t="str">
        <x:v>Study IDs</x:v>
      </x:c>
    </x:row>
    <x:row r="5" ht="56" customHeight="1">
      <x:c r="A5" s="2" t="str">
        <x:v>GPT</x:v>
      </x:c>
      <x:c r="B5" s="2" t="n">
        <x:f>COUNTIF('01_Model_Uses'!$J$2:$J$282,A5)</x:f>
        <x:v>102</x:v>
      </x:c>
      <x:c r="C5" s="7" t="n">
        <x:f>B5/255</x:f>
        <x:v>0.4</x:v>
      </x:c>
      <x:c r="D5" s="2" t="n">
        <x:f>COUNTIFS('07_Memberships'!$A$2:$A$161,"Model family",'07_Memberships'!$B$2:$B$161,A5)</x:f>
        <x:v>34</x:v>
      </x:c>
      <x:c r="E5" s="7" t="n">
        <x:f>D5/61</x:f>
        <x:v>0.5573770491803278</x:v>
      </x:c>
      <x:c r="F5" s="2" t="str">
        <x:v>G1; S01; S02; S03; S04; S05; S06; S07; S08; S10; S12; S13; S15; S16; S17; S18; S19; S20; S27; S31; S34; S35; S38; S39; S40; S41; S42; S44; S45; S46; S48; S49; S51; S53</x:v>
      </x:c>
    </x:row>
    <x:row r="6" ht="28" customHeight="1">
      <x:c r="A6" s="2" t="str">
        <x:v>Llama</x:v>
      </x:c>
      <x:c r="B6" s="2" t="n">
        <x:f>COUNTIF('01_Model_Uses'!$J$2:$J$282,A6)</x:f>
        <x:v>42</x:v>
      </x:c>
      <x:c r="C6" s="7" t="n">
        <x:f>B6/255</x:f>
        <x:v>0.16470588235294117</x:v>
      </x:c>
      <x:c r="D6" s="2" t="n">
        <x:f>COUNTIFS('07_Memberships'!$A$2:$A$161,"Model family",'07_Memberships'!$B$2:$B$161,A6)</x:f>
        <x:v>16</x:v>
      </x:c>
      <x:c r="E6" s="7" t="n">
        <x:f>D6/61</x:f>
        <x:v>0.26229508196721313</x:v>
      </x:c>
      <x:c r="F6" s="2" t="str">
        <x:v>S02; S07; S10; S12; S19; S23; S28; S30; S31; S33; S34; S42; S43; S46; S48; S50</x:v>
      </x:c>
    </x:row>
    <x:row r="7" ht="28" customHeight="1">
      <x:c r="A7" s="2" t="str">
        <x:v>Claude</x:v>
      </x:c>
      <x:c r="B7" s="2" t="n">
        <x:f>COUNTIF('01_Model_Uses'!$J$2:$J$282,A7)</x:f>
        <x:v>35</x:v>
      </x:c>
      <x:c r="C7" s="7" t="n">
        <x:f>B7/255</x:f>
        <x:v>0.13725490196078433</x:v>
      </x:c>
      <x:c r="D7" s="2" t="n">
        <x:f>COUNTIFS('07_Memberships'!$A$2:$A$161,"Model family",'07_Memberships'!$B$2:$B$161,A7)</x:f>
        <x:v>12</x:v>
      </x:c>
      <x:c r="E7" s="7" t="n">
        <x:f>D7/61</x:f>
        <x:v>0.19672131147540983</x:v>
      </x:c>
      <x:c r="F7" s="2" t="str">
        <x:v>G8; S05; S12; S13; S21; S29; S34; S41; S46; S51; S52; S53</x:v>
      </x:c>
    </x:row>
    <x:row r="8" ht="28" customHeight="1">
      <x:c r="A8" s="2" t="str">
        <x:v>Gemini</x:v>
      </x:c>
      <x:c r="B8" s="2" t="n">
        <x:f>COUNTIF('01_Model_Uses'!$J$2:$J$282,A8)</x:f>
        <x:v>26</x:v>
      </x:c>
      <x:c r="C8" s="7" t="n">
        <x:f>B8/255</x:f>
        <x:v>0.10196078431372549</x:v>
      </x:c>
      <x:c r="D8" s="2" t="n">
        <x:f>COUNTIFS('07_Memberships'!$A$2:$A$161,"Model family",'07_Memberships'!$B$2:$B$161,A8)</x:f>
        <x:v>11</x:v>
      </x:c>
      <x:c r="E8" s="7" t="n">
        <x:f>D8/61</x:f>
        <x:v>0.18032786885245902</x:v>
      </x:c>
      <x:c r="F8" s="2" t="str">
        <x:v>S12; S13; S14; S25; S34; S36; S38; S43; S46; S51; S53</x:v>
      </x:c>
    </x:row>
    <x:row r="9" ht="23" customHeight="1">
      <x:c r="A9" s="2" t="str">
        <x:v>DeepSeek</x:v>
      </x:c>
      <x:c r="B9" s="2" t="n">
        <x:f>COUNTIF('01_Model_Uses'!$J$2:$J$282,A9)</x:f>
        <x:v>14</x:v>
      </x:c>
      <x:c r="C9" s="7" t="n">
        <x:f>B9/255</x:f>
        <x:v>0.054901960784313725</x:v>
      </x:c>
      <x:c r="D9" s="2" t="n">
        <x:f>COUNTIFS('07_Memberships'!$A$2:$A$161,"Model family",'07_Memberships'!$B$2:$B$161,A9)</x:f>
        <x:v>6</x:v>
      </x:c>
      <x:c r="E9" s="7" t="n">
        <x:f>D9/61</x:f>
        <x:v>0.09836065573770492</x:v>
      </x:c>
      <x:c r="F9" s="2" t="str">
        <x:v>S11; S34; S37; S38; S41; S43</x:v>
      </x:c>
    </x:row>
    <x:row r="10" ht="23" customHeight="1">
      <x:c r="A10" s="2" t="str">
        <x:v>GitHub Copilot</x:v>
      </x:c>
      <x:c r="B10" s="2" t="n">
        <x:f>COUNTIF('01_Model_Uses'!$J$2:$J$282,A10)</x:f>
        <x:v>10</x:v>
      </x:c>
      <x:c r="C10" s="7" t="n">
        <x:f>B10/255</x:f>
        <x:v>0.0392156862745098</x:v>
      </x:c>
      <x:c r="D10" s="2" t="n">
        <x:f>COUNTIFS('07_Memberships'!$A$2:$A$161,"Model family",'07_Memberships'!$B$2:$B$161,A10)</x:f>
        <x:v>1</x:v>
      </x:c>
      <x:c r="E10" s="7" t="n">
        <x:f>D10/61</x:f>
        <x:v>0.01639344262295082</x:v>
      </x:c>
      <x:c r="F10" s="2" t="str">
        <x:v>S46</x:v>
      </x:c>
    </x:row>
    <x:row r="11" ht="23" customHeight="1">
      <x:c r="A11" s="2" t="str">
        <x:v>Qwen</x:v>
      </x:c>
      <x:c r="B11" s="2" t="n">
        <x:f>COUNTIF('01_Model_Uses'!$J$2:$J$282,A11)</x:f>
        <x:v>8</x:v>
      </x:c>
      <x:c r="C11" s="7" t="n">
        <x:f>B11/255</x:f>
        <x:v>0.03137254901960784</x:v>
      </x:c>
      <x:c r="D11" s="2" t="n">
        <x:f>COUNTIFS('07_Memberships'!$A$2:$A$161,"Model family",'07_Memberships'!$B$2:$B$161,A11)</x:f>
        <x:v>4</x:v>
      </x:c>
      <x:c r="E11" s="7" t="n">
        <x:f>D11/61</x:f>
        <x:v>0.06557377049180328</x:v>
      </x:c>
      <x:c r="F11" s="2" t="str">
        <x:v>S10; S34; S38; S47</x:v>
      </x:c>
    </x:row>
    <x:row r="12" ht="23" customHeight="1">
      <x:c r="A12" s="2" t="str">
        <x:v>Mistral</x:v>
      </x:c>
      <x:c r="B12" s="2" t="n">
        <x:f>COUNTIF('01_Model_Uses'!$J$2:$J$282,A12)</x:f>
        <x:v>5</x:v>
      </x:c>
      <x:c r="C12" s="7" t="n">
        <x:f>B12/255</x:f>
        <x:v>0.0196078431372549</x:v>
      </x:c>
      <x:c r="D12" s="2" t="n">
        <x:f>COUNTIFS('07_Memberships'!$A$2:$A$161,"Model family",'07_Memberships'!$B$2:$B$161,A12)</x:f>
        <x:v>4</x:v>
      </x:c>
      <x:c r="E12" s="7" t="n">
        <x:f>D12/61</x:f>
        <x:v>0.06557377049180328</x:v>
      </x:c>
      <x:c r="F12" s="2" t="str">
        <x:v>S07; S25; S27; S34</x:v>
      </x:c>
    </x:row>
    <x:row r="13" ht="23" customHeight="1">
      <x:c r="A13" s="2" t="str">
        <x:v>OpenAI o-series</x:v>
      </x:c>
      <x:c r="B13" s="2" t="n">
        <x:f>COUNTIF('01_Model_Uses'!$J$2:$J$282,A13)</x:f>
        <x:v>4</x:v>
      </x:c>
      <x:c r="C13" s="7" t="n">
        <x:f>B13/255</x:f>
        <x:v>0.01568627450980392</x:v>
      </x:c>
      <x:c r="D13" s="2" t="n">
        <x:f>COUNTIFS('07_Memberships'!$A$2:$A$161,"Model family",'07_Memberships'!$B$2:$B$161,A13)</x:f>
        <x:v>2</x:v>
      </x:c>
      <x:c r="E13" s="7" t="n">
        <x:f>D13/61</x:f>
        <x:v>0.03278688524590164</x:v>
      </x:c>
      <x:c r="F13" s="2" t="str">
        <x:v>S05; S34</x:v>
      </x:c>
    </x:row>
    <x:row r="14" ht="23" customHeight="1">
      <x:c r="A14" s="2" t="str">
        <x:v>WizardCoder</x:v>
      </x:c>
      <x:c r="B14" s="2" t="n">
        <x:f>COUNTIF('01_Model_Uses'!$J$2:$J$282,A14)</x:f>
        <x:v>4</x:v>
      </x:c>
      <x:c r="C14" s="7" t="n">
        <x:f>B14/255</x:f>
        <x:v>0.01568627450980392</x:v>
      </x:c>
      <x:c r="D14" s="2" t="n">
        <x:f>COUNTIFS('07_Memberships'!$A$2:$A$161,"Model family",'07_Memberships'!$B$2:$B$161,A14)</x:f>
        <x:v>1</x:v>
      </x:c>
      <x:c r="E14" s="7" t="n">
        <x:f>D14/61</x:f>
        <x:v>0.01639344262295082</x:v>
      </x:c>
      <x:c r="F14" s="2" t="str">
        <x:v>S23</x:v>
      </x:c>
    </x:row>
    <x:row r="15" ht="23" customHeight="1">
      <x:c r="A15" s="2" t="str">
        <x:v>Gemma</x:v>
      </x:c>
      <x:c r="B15" s="2" t="n">
        <x:f>COUNTIF('01_Model_Uses'!$J$2:$J$282,A15)</x:f>
        <x:v>3</x:v>
      </x:c>
      <x:c r="C15" s="7" t="n">
        <x:f>B15/255</x:f>
        <x:v>0.011764705882352941</x:v>
      </x:c>
      <x:c r="D15" s="2" t="n">
        <x:f>COUNTIFS('07_Memberships'!$A$2:$A$161,"Model family",'07_Memberships'!$B$2:$B$161,A15)</x:f>
        <x:v>2</x:v>
      </x:c>
      <x:c r="E15" s="7" t="n">
        <x:f>D15/61</x:f>
        <x:v>0.03278688524590164</x:v>
      </x:c>
      <x:c r="F15" s="2" t="str">
        <x:v>S10; S27</x:v>
      </x:c>
    </x:row>
    <x:row r="16" ht="23" customHeight="1">
      <x:c r="A16" s="2" t="str">
        <x:v>Grok</x:v>
      </x:c>
      <x:c r="B16" s="2" t="n">
        <x:f>COUNTIF('01_Model_Uses'!$J$2:$J$282,A16)</x:f>
        <x:v>1</x:v>
      </x:c>
      <x:c r="C16" s="7" t="n">
        <x:f>B16/255</x:f>
        <x:v>0.00392156862745098</x:v>
      </x:c>
      <x:c r="D16" s="2" t="n">
        <x:f>COUNTIFS('07_Memberships'!$A$2:$A$161,"Model family",'07_Memberships'!$B$2:$B$161,A16)</x:f>
        <x:v>1</x:v>
      </x:c>
      <x:c r="E16" s="7" t="n">
        <x:f>D16/61</x:f>
        <x:v>0.01639344262295082</x:v>
      </x:c>
      <x:c r="F16" s="2" t="str">
        <x:v>S34</x:v>
      </x:c>
    </x:row>
    <x:row r="17" ht="23" customHeight="1">
      <x:c r="A17" s="2" t="str">
        <x:v>Phi</x:v>
      </x:c>
      <x:c r="B17" s="2" t="n">
        <x:f>COUNTIF('01_Model_Uses'!$J$2:$J$282,A17)</x:f>
        <x:v>1</x:v>
      </x:c>
      <x:c r="C17" s="7" t="n">
        <x:f>B17/255</x:f>
        <x:v>0.00392156862745098</x:v>
      </x:c>
      <x:c r="D17" s="2" t="n">
        <x:f>COUNTIFS('07_Memberships'!$A$2:$A$161,"Model family",'07_Memberships'!$B$2:$B$161,A17)</x:f>
        <x:v>1</x:v>
      </x:c>
      <x:c r="E17" s="7" t="n">
        <x:f>D17/61</x:f>
        <x:v>0.01639344262295082</x:v>
      </x:c>
      <x:c r="F17" s="2" t="str">
        <x:v>S27</x:v>
      </x:c>
    </x:row>
    <x:row r="18" ht="23" customHeight="1">
      <x:c r="A18" s="2"/>
      <x:c r="B18" s="2"/>
      <x:c r="C18" s="7"/>
      <x:c r="D18" s="2"/>
      <x:c r="E18" s="7"/>
      <x:c r="F18" s="2"/>
    </x:row>
    <x:row r="19" ht="23" customHeight="1">
      <x:c r="A19" s="2" t="str">
        <x:v>Access distribution among identifiable model uses</x:v>
      </x:c>
      <x:c r="B19" s="2"/>
      <x:c r="C19" s="7"/>
      <x:c r="D19" s="2"/>
      <x:c r="E19" s="7"/>
      <x:c r="F19" s="2"/>
    </x:row>
    <x:row r="20" ht="23" customHeight="1">
      <x:c r="A20" s="2" t="str">
        <x:v>Access group</x:v>
      </x:c>
      <x:c r="B20" s="2" t="str">
        <x:v>Model uses</x:v>
      </x:c>
      <x:c r="C20" s="7" t="str">
        <x:v>% identifiable uses</x:v>
      </x:c>
      <x:c r="D20" s="2" t="str">
        <x:v>Studies</x:v>
      </x:c>
      <x:c r="E20" s="7" t="str">
        <x:v>% studies</x:v>
      </x:c>
      <x:c r="F20" s="2" t="str">
        <x:v>Study IDs</x:v>
      </x:c>
    </x:row>
    <x:row r="21" ht="70" customHeight="1">
      <x:c r="A21" s="2" t="str">
        <x:v>Closed</x:v>
      </x:c>
      <x:c r="B21" s="2" t="n">
        <x:f>COUNTIF('01_Model_Uses'!$M$2:$M$282,A21)</x:f>
        <x:v>178</x:v>
      </x:c>
      <x:c r="C21" s="7" t="n">
        <x:f>B21/255</x:f>
        <x:v>0.6980392156862745</x:v>
      </x:c>
      <x:c r="D21" s="2" t="n">
        <x:f>COUNTIFS('07_Memberships'!$A$2:$A$161,"Access group",'07_Memberships'!$B$2:$B$161,A21)</x:f>
        <x:v>42</x:v>
      </x:c>
      <x:c r="E21" s="7" t="n">
        <x:f>D21/61</x:f>
        <x:v>0.6885245901639344</x:v>
      </x:c>
      <x:c r="F21" s="2" t="str">
        <x:v>G1; G8; S01; S02; S03; S04; S05; S06; S07; S08; S10; S12; S13; S14; S15; S16; S17; S18; S19; S20; S21; S25; S27; S29; S31; S34; S35; S36; S38; S39; S40; S41; S42; S43; S44; S45; S46; S48; S49; S51; S52; S53</x:v>
      </x:c>
    </x:row>
    <x:row r="22" ht="42" customHeight="1">
      <x:c r="A22" s="2" t="str">
        <x:v>Open weights</x:v>
      </x:c>
      <x:c r="B22" s="2" t="n">
        <x:f>COUNTIF('01_Model_Uses'!$M$2:$M$282,A22)</x:f>
        <x:v>77</x:v>
      </x:c>
      <x:c r="C22" s="7" t="n">
        <x:f>B22/255</x:f>
        <x:v>0.30196078431372547</x:v>
      </x:c>
      <x:c r="D22" s="2" t="n">
        <x:f>COUNTIFS('07_Memberships'!$A$2:$A$161,"Access group",'07_Memberships'!$B$2:$B$161,A22)</x:f>
        <x:v>23</x:v>
      </x:c>
      <x:c r="E22" s="7" t="n">
        <x:f>D22/61</x:f>
        <x:v>0.3770491803278688</x:v>
      </x:c>
      <x:c r="F22" s="2" t="str">
        <x:v>S02; S07; S10; S11; S12; S19; S23; S25; S27; S28; S30; S31; S33; S34; S37; S38; S41; S42; S43; S46; S47; S48; S50</x:v>
      </x:c>
    </x:row>
    <x:row r="23" ht="23" customHeight="1">
      <x:c r="A23" s="2"/>
      <x:c r="B23" s="2"/>
      <x:c r="C23" s="7"/>
      <x:c r="D23" s="2"/>
      <x:c r="E23" s="2"/>
      <x:c r="F23" s="2"/>
    </x:row>
    <x:row r="24" ht="23" customHeight="1">
      <x:c r="A24" s="2" t="str">
        <x:v>Configuration facets at study level</x:v>
      </x:c>
      <x:c r="B24" s="2"/>
      <x:c r="C24" s="7"/>
      <x:c r="D24" s="2"/>
      <x:c r="E24" s="2"/>
      <x:c r="F24" s="2"/>
    </x:row>
    <x:row r="25" ht="23" customHeight="1">
      <x:c r="A25" s="2" t="str">
        <x:v>Configuration facet</x:v>
      </x:c>
      <x:c r="B25" s="2" t="str">
        <x:v>Studies</x:v>
      </x:c>
      <x:c r="C25" s="7" t="str">
        <x:v>% studies</x:v>
      </x:c>
      <x:c r="D25" s="2"/>
      <x:c r="E25" s="2"/>
      <x:c r="F25" s="2" t="str">
        <x:v>Study IDs</x:v>
      </x:c>
    </x:row>
    <x:row r="26" ht="84" customHeight="1">
      <x:c r="A26" s="2" t="str">
        <x:v>Prompting reported</x:v>
      </x:c>
      <x:c r="B26" s="2" t="n">
        <x:f>COUNTIF('03_Study_Config'!$F$2:$F$62,"Yes")</x:f>
        <x:v>52</x:v>
      </x:c>
      <x:c r="C26" s="7" t="n">
        <x:f>B26/61</x:f>
        <x:v>0.8524590163934426</x:v>
      </x:c>
      <x:c r="D26" s="2"/>
      <x:c r="E26" s="2"/>
      <x:c r="F26" s="2" t="str">
        <x:v>S01; S02; S03; S04; S06; S07; S08; S09; S10; S11; S12; S13; S14; S15; S16; S17; S18; S19; S20; S21; S23; S24; S25; S26; S27; S28; S29; S30; S32; S33; S34; S35; S37; S38; S39; S40; S41; S42; S43; S44; S45; S46; S48; S49; S50; S51; S52; S53; G1; G2; G6; G7</x:v>
      </x:c>
    </x:row>
    <x:row r="27" ht="42" customHeight="1">
      <x:c r="A27" s="2" t="str">
        <x:v>Structured/template prompting</x:v>
      </x:c>
      <x:c r="B27" s="2" t="n">
        <x:f>COUNTIF('03_Study_Config'!$G$2:$G$62,"Yes")</x:f>
        <x:v>26</x:v>
      </x:c>
      <x:c r="C27" s="7" t="n">
        <x:f>B27/61</x:f>
        <x:v>0.4262295081967213</x:v>
      </x:c>
      <x:c r="D27" s="2"/>
      <x:c r="E27" s="2"/>
      <x:c r="F27" s="2" t="str">
        <x:v>S02; S07; S09; S10; S11; S13; S14; S15; S16; S17; S18; S20; S23; S24; S28; S30; S32; S33; S34; S37; S38; S40; S43; S46; S49; G6</x:v>
      </x:c>
    </x:row>
    <x:row r="28" ht="28" customHeight="1">
      <x:c r="A28" s="2" t="str">
        <x:v>Reasoning elicitation</x:v>
      </x:c>
      <x:c r="B28" s="2" t="n">
        <x:f>COUNTIF('03_Study_Config'!$H$2:$H$62,"Yes")</x:f>
        <x:v>12</x:v>
      </x:c>
      <x:c r="C28" s="7" t="n">
        <x:f>B28/61</x:f>
        <x:v>0.19672131147540983</x:v>
      </x:c>
      <x:c r="D28" s="2"/>
      <x:c r="E28" s="2"/>
      <x:c r="F28" s="2" t="str">
        <x:v>S01; S02; S08; S09; S20; S21; S27; S37; S42; S44; S49; S51</x:v>
      </x:c>
    </x:row>
    <x:row r="29" ht="42" customHeight="1">
      <x:c r="A29" s="2" t="str">
        <x:v>Few-shot/in-context examples</x:v>
      </x:c>
      <x:c r="B29" s="2" t="n">
        <x:f>COUNTIF('03_Study_Config'!$I$2:$I$62,"Yes")</x:f>
        <x:v>21</x:v>
      </x:c>
      <x:c r="C29" s="7" t="n">
        <x:f>B29/61</x:f>
        <x:v>0.3442622950819672</x:v>
      </x:c>
      <x:c r="D29" s="2"/>
      <x:c r="E29" s="2"/>
      <x:c r="F29" s="2" t="str">
        <x:v>S03; S04; S08; S12; S13; S16; S17; S18; S20; S28; S29; S30; S32; S37; S38; S41; S50; S51; S52; S53; G6</x:v>
      </x:c>
    </x:row>
    <x:row r="30" ht="23" customHeight="1">
      <x:c r="A30" s="2" t="str">
        <x:v>Zero-shot prompting</x:v>
      </x:c>
      <x:c r="B30" s="2" t="n">
        <x:f>COUNTIF('03_Study_Config'!$J$2:$J$62,"Yes")</x:f>
        <x:v>8</x:v>
      </x:c>
      <x:c r="C30" s="7" t="n">
        <x:f>B30/61</x:f>
        <x:v>0.13114754098360656</x:v>
      </x:c>
      <x:c r="D30" s="2"/>
      <x:c r="E30" s="2"/>
      <x:c r="F30" s="2" t="str">
        <x:v>S03; S04; S08; S13; S37; S41; S50; S53</x:v>
      </x:c>
    </x:row>
    <x:row r="31" ht="23" customHeight="1">
      <x:c r="A31" s="2" t="str">
        <x:v>Role/system/persona prompting</x:v>
      </x:c>
      <x:c r="B31" s="2" t="n">
        <x:f>COUNTIF('03_Study_Config'!$K$2:$K$62,"Yes")</x:f>
        <x:v>8</x:v>
      </x:c>
      <x:c r="C31" s="7" t="n">
        <x:f>B31/61</x:f>
        <x:v>0.13114754098360656</x:v>
      </x:c>
      <x:c r="D31" s="2"/>
      <x:c r="E31" s="2"/>
      <x:c r="F31" s="2" t="str">
        <x:v>S07; S18; S29; S30; S33; S38; S49; G7</x:v>
      </x:c>
    </x:row>
    <x:row r="32" ht="23" customHeight="1">
      <x:c r="A32" s="2" t="str">
        <x:v>Iterative or staged prompting</x:v>
      </x:c>
      <x:c r="B32" s="2" t="n">
        <x:f>COUNTIF('03_Study_Config'!$L$2:$L$62,"Yes")</x:f>
        <x:v>10</x:v>
      </x:c>
      <x:c r="C32" s="7" t="n">
        <x:f>B32/61</x:f>
        <x:v>0.16393442622950818</x:v>
      </x:c>
      <x:c r="D32" s="2"/>
      <x:c r="E32" s="2"/>
      <x:c r="F32" s="2" t="str">
        <x:v>S02; S11; S21; S23; S25; S48; S49; S52; S53; G1</x:v>
      </x:c>
    </x:row>
    <x:row r="33" ht="42" customHeight="1">
      <x:c r="A33" s="2" t="str">
        <x:v>Input/context construction</x:v>
      </x:c>
      <x:c r="B33" s="2" t="n">
        <x:f>COUNTIF('03_Study_Config'!$M$2:$M$62,"Yes")</x:f>
        <x:v>27</x:v>
      </x:c>
      <x:c r="C33" s="7" t="n">
        <x:f>B33/61</x:f>
        <x:v>0.4426229508196721</x:v>
      </x:c>
      <x:c r="D33" s="2"/>
      <x:c r="E33" s="2"/>
      <x:c r="F33" s="2" t="str">
        <x:v>S01; S05; S06; S09; S12; S15; S17; S23; S25; S28; S29; S33; S37; S38; S42; S45; S47; S50; S52; G1; G2; G3; G4; G5; G6; G7; G8</x:v>
      </x:c>
    </x:row>
    <x:row r="34" ht="23" customHeight="1">
      <x:c r="A34" s="2" t="str">
        <x:v>Retrieved context</x:v>
      </x:c>
      <x:c r="B34" s="2" t="n">
        <x:f>COUNTIF('03_Study_Config'!$N$2:$N$62,"Yes")</x:f>
        <x:v>10</x:v>
      </x:c>
      <x:c r="C34" s="7" t="n">
        <x:f>B34/61</x:f>
        <x:v>0.16393442622950818</x:v>
      </x:c>
      <x:c r="D34" s="2"/>
      <x:c r="E34" s="2"/>
      <x:c r="F34" s="2" t="str">
        <x:v>S01; S25; S28; S29; S37; S42; S50; G2; G5; G7</x:v>
      </x:c>
    </x:row>
    <x:row r="35" ht="23" customHeight="1">
      <x:c r="A35" s="2" t="str">
        <x:v>Output specification</x:v>
      </x:c>
      <x:c r="B35" s="2" t="n">
        <x:f>COUNTIF('03_Study_Config'!$O$2:$O$62,"Yes")</x:f>
        <x:v>7</x:v>
      </x:c>
      <x:c r="C35" s="7" t="n">
        <x:f>B35/61</x:f>
        <x:v>0.11475409836065574</x:v>
      </x:c>
      <x:c r="D35" s="2"/>
      <x:c r="E35" s="2"/>
      <x:c r="F35" s="2" t="str">
        <x:v>S09; S15; S33; S36; S47; G5; G6</x:v>
      </x:c>
    </x:row>
    <x:row r="36" ht="23" customHeight="1">
      <x:c r="A36" s="2" t="str">
        <x:v>Invocation feature</x:v>
      </x:c>
      <x:c r="B36" s="2" t="n">
        <x:f>COUNTIF('03_Study_Config'!$P$2:$P$62,"Yes")</x:f>
        <x:v>6</x:v>
      </x:c>
      <x:c r="C36" s="7" t="n">
        <x:f>B36/61</x:f>
        <x:v>0.09836065573770492</x:v>
      </x:c>
      <x:c r="D36" s="2"/>
      <x:c r="E36" s="2"/>
      <x:c r="F36" s="2" t="str">
        <x:v>S05; S06; S15; S19; S25; S33</x:v>
      </x:c>
    </x:row>
    <x:row r="37" ht="23" customHeight="1">
      <x:c r="A37" s="2" t="str">
        <x:v>Hidden-layer representation extraction</x:v>
      </x:c>
      <x:c r="B37" s="2" t="n">
        <x:f>COUNTIF('03_Study_Config'!$Q$2:$Q$62,"Yes")</x:f>
        <x:v>1</x:v>
      </x:c>
      <x:c r="C37" s="7" t="n">
        <x:f>B37/61</x:f>
        <x:v>0.01639344262295082</x:v>
      </x:c>
      <x:c r="D37" s="2"/>
      <x:c r="E37" s="2"/>
      <x:c r="F37" s="2" t="str">
        <x:v>S48</x:v>
      </x:c>
    </x:row>
    <x:row r="38" ht="23" customHeight="1">
      <x:c r="A38" s="2"/>
      <x:c r="B38" s="2"/>
      <x:c r="C38" s="7"/>
      <x:c r="D38" s="2"/>
      <x:c r="E38" s="2"/>
      <x:c r="F38" s="2"/>
    </x:row>
    <x:row r="39" ht="23" customHeight="1">
      <x:c r="A39" s="2" t="str">
        <x:v>Parameter reporting at study level</x:v>
      </x:c>
      <x:c r="B39" s="2"/>
      <x:c r="C39" s="7"/>
      <x:c r="D39" s="2"/>
      <x:c r="E39" s="2"/>
      <x:c r="F39" s="2"/>
    </x:row>
    <x:row r="40" ht="23" customHeight="1">
      <x:c r="A40" s="2" t="str">
        <x:v>Reported field</x:v>
      </x:c>
      <x:c r="B40" s="2" t="str">
        <x:v>Studies</x:v>
      </x:c>
      <x:c r="C40" s="7" t="str">
        <x:v>% studies</x:v>
      </x:c>
      <x:c r="D40" s="2" t="str">
        <x:v>Model uses</x:v>
      </x:c>
      <x:c r="E40" s="2" t="str">
        <x:v>% model uses</x:v>
      </x:c>
      <x:c r="F40" s="2" t="str">
        <x:v>Study IDs</x:v>
      </x:c>
    </x:row>
    <x:row r="41" ht="42" customHeight="1">
      <x:c r="A41" s="2" t="str">
        <x:v>Model version</x:v>
      </x:c>
      <x:c r="B41" s="2" t="n">
        <x:f>COUNTIF('03_Study_Config'!$R$2:$R$62,"Yes")</x:f>
        <x:v>37</x:v>
      </x:c>
      <x:c r="C41" s="7" t="n">
        <x:f>B41/61</x:f>
        <x:v>0.6065573770491803</x:v>
      </x:c>
      <x:c r="D41" s="2" t="n">
        <x:f>COUNTIFS('01_Model_Uses'!$S$2:$S$282,"&lt;&gt;NR",'01_Model_Uses'!$S$2:$S$282,"&lt;&gt;NA",'01_Model_Uses'!$S$2:$S$282,"&lt;&gt;Unclear",'01_Model_Uses'!$S$2:$S$282,"&lt;&gt;")</x:f>
        <x:v>168</x:v>
      </x:c>
      <x:c r="E41" s="7" t="n">
        <x:f>D41/281</x:f>
        <x:v>0.597864768683274</x:v>
      </x:c>
      <x:c r="F41" s="2" t="str">
        <x:v>S01,S03,S05,S06,S08,S10,S11,S12,S13,S14,S15,S16,S19,S21,S25,S27,S28,S30,S31,S33,S34,S35,S36,S37,S38,S41,S43,S45,S46,S47,S48,S49,S50,S51,S52,S53</x:v>
      </x:c>
    </x:row>
    <x:row r="42" ht="28" customHeight="1">
      <x:c r="A42" s="2" t="str">
        <x:v>Model size</x:v>
      </x:c>
      <x:c r="B42" s="2" t="n">
        <x:f>COUNTIF('03_Study_Config'!$S$2:$S$62,"Yes")</x:f>
        <x:v>18</x:v>
      </x:c>
      <x:c r="C42" s="7" t="n">
        <x:f>B42/61</x:f>
        <x:v>0.29508196721311475</x:v>
      </x:c>
      <x:c r="D42" s="2" t="n">
        <x:f>COUNTIFS('01_Model_Uses'!$T$2:$T$282,"&lt;&gt;NR",'01_Model_Uses'!$T$2:$T$282,"&lt;&gt;NA",'01_Model_Uses'!$T$2:$T$282,"&lt;&gt;Unclear",'01_Model_Uses'!$T$2:$T$282,"&lt;&gt;")</x:f>
        <x:v>55</x:v>
      </x:c>
      <x:c r="E42" s="7" t="n">
        <x:f>D42/281</x:f>
        <x:v>0.19572953736654805</x:v>
      </x:c>
      <x:c r="F42" s="2" t="str">
        <x:v>S02,S07,S10,S12,S19,S23,S25,S27,S28,S30,S33,S34,S38,S42,S43,S47,S48,S50</x:v>
      </x:c>
    </x:row>
    <x:row r="43" ht="23" customHeight="1">
      <x:c r="A43" s="2" t="str">
        <x:v>Model access date</x:v>
      </x:c>
      <x:c r="B43" s="2" t="n">
        <x:f>COUNTIF('03_Study_Config'!$T$2:$T$62,"Yes")</x:f>
        <x:v>6</x:v>
      </x:c>
      <x:c r="C43" s="7" t="n">
        <x:f>B43/61</x:f>
        <x:v>0.09836065573770492</x:v>
      </x:c>
      <x:c r="D43" s="2" t="n">
        <x:f>COUNTIFS('01_Model_Uses'!$U$2:$U$282,"&lt;&gt;NR",'01_Model_Uses'!$U$2:$U$282,"&lt;&gt;NA",'01_Model_Uses'!$U$2:$U$282,"&lt;&gt;Unclear",'01_Model_Uses'!$U$2:$U$282,"&lt;&gt;")</x:f>
        <x:v>66</x:v>
      </x:c>
      <x:c r="E43" s="7" t="n">
        <x:f>D43/281</x:f>
        <x:v>0.23487544483985764</x:v>
      </x:c>
      <x:c r="F43" s="2" t="str">
        <x:v>S07,S10,S38,S40,S46,S51</x:v>
      </x:c>
    </x:row>
    <x:row r="44" ht="56" customHeight="1">
      <x:c r="A44" s="2" t="str">
        <x:v>API/local mode</x:v>
      </x:c>
      <x:c r="B44" s="2" t="n">
        <x:f>COUNTIF('03_Study_Config'!$U$2:$U$62,"Yes")</x:f>
        <x:v>45</x:v>
      </x:c>
      <x:c r="C44" s="7" t="n">
        <x:f>B44/61</x:f>
        <x:v>0.7377049180327869</x:v>
      </x:c>
      <x:c r="D44" s="2" t="n">
        <x:f>COUNTIFS('01_Model_Uses'!$Q$2:$Q$282,"&lt;&gt;NR",'01_Model_Uses'!$Q$2:$Q$282,"&lt;&gt;NA",'01_Model_Uses'!$Q$2:$Q$282,"&lt;&gt;Unclear",'01_Model_Uses'!$Q$2:$Q$282,"&lt;&gt;")</x:f>
        <x:v>179</x:v>
      </x:c>
      <x:c r="E44" s="7" t="n">
        <x:f>D44/281</x:f>
        <x:v>0.6370106761565836</x:v>
      </x:c>
      <x:c r="F44" s="2" t="str">
        <x:v>S01,S02,S03,S04,S05,S06,S07,S08,S10,S11,S12,S13,S14,S15,S16,S17,S18,S20,S21,S23,S24,S27,S28,S29,S30,S31,S33,S35,S36,S38,S39,S40,S41,S42,S43,S44,S47,S48,S49,S50,S51,S52,S53</x:v>
      </x:c>
    </x:row>
    <x:row r="45" ht="42" customHeight="1">
      <x:c r="A45" s="2" t="str">
        <x:v>Deployment mode</x:v>
      </x:c>
      <x:c r="B45" s="2" t="n">
        <x:f>COUNTIF('03_Study_Config'!$V$2:$V$62,"Yes")</x:f>
        <x:v>31</x:v>
      </x:c>
      <x:c r="C45" s="7" t="n">
        <x:f>B45/61</x:f>
        <x:v>0.5081967213114754</x:v>
      </x:c>
      <x:c r="D45" s="2" t="n">
        <x:f>COUNTIFS('01_Model_Uses'!$R$2:$R$282,"&lt;&gt;NR",'01_Model_Uses'!$R$2:$R$282,"&lt;&gt;NA",'01_Model_Uses'!$R$2:$R$282,"&lt;&gt;Unclear",'01_Model_Uses'!$R$2:$R$282,"&lt;&gt;")</x:f>
        <x:v>149</x:v>
      </x:c>
      <x:c r="E45" s="7" t="n">
        <x:f>D45/281</x:f>
        <x:v>0.5302491103202847</x:v>
      </x:c>
      <x:c r="F45" s="2" t="str">
        <x:v>S01,S03,S05,S07,S08,S10,S11,S12,S14,S15,S16,S27,S28,S29,S30,S31,S33,S36,S38,S40,S42,S43,S44,S45,S46,S47,S48,S49,S50,S53</x:v>
      </x:c>
    </x:row>
    <x:row r="46" ht="28" customHeight="1">
      <x:c r="A46" s="2" t="str">
        <x:v>Temperature</x:v>
      </x:c>
      <x:c r="B46" s="2" t="n">
        <x:f>COUNTIF('03_Study_Config'!$W$2:$W$62,"Yes")</x:f>
        <x:v>21</x:v>
      </x:c>
      <x:c r="C46" s="7" t="n">
        <x:f>B46/61</x:f>
        <x:v>0.3442622950819672</x:v>
      </x:c>
      <x:c r="D46" s="2" t="n">
        <x:f>COUNTIFS('01_Model_Uses'!$V$2:$V$282,"&lt;&gt;NR",'01_Model_Uses'!$V$2:$V$282,"&lt;&gt;NA",'01_Model_Uses'!$V$2:$V$282,"&lt;&gt;Unclear",'01_Model_Uses'!$V$2:$V$282,"&lt;&gt;")</x:f>
        <x:v>85</x:v>
      </x:c>
      <x:c r="E46" s="7" t="n">
        <x:f>D46/281</x:f>
        <x:v>0.302491103202847</x:v>
      </x:c>
      <x:c r="F46" s="2" t="str">
        <x:v>S01,S02,S03,S04,S07,S08,S11,S12,S14,S15,S16,S18,S19,S27,S29,S30,S37,S40,S41,S42,S48</x:v>
      </x:c>
    </x:row>
    <x:row r="47" ht="23" customHeight="1">
      <x:c r="A47" s="2" t="str">
        <x:v>Random seed</x:v>
      </x:c>
      <x:c r="B47" s="2" t="n">
        <x:f>COUNTIF('03_Study_Config'!$X$2:$X$62,"Yes")</x:f>
        <x:v>4</x:v>
      </x:c>
      <x:c r="C47" s="7" t="n">
        <x:f>B47/61</x:f>
        <x:v>0.06557377049180328</x:v>
      </x:c>
      <x:c r="D47" s="2" t="n">
        <x:f>COUNTIFS('01_Model_Uses'!$W$2:$W$282,"&lt;&gt;NR",'01_Model_Uses'!$W$2:$W$282,"&lt;&gt;NA",'01_Model_Uses'!$W$2:$W$282,"&lt;&gt;Unclear",'01_Model_Uses'!$W$2:$W$282,"&lt;&gt;")</x:f>
        <x:v>20</x:v>
      </x:c>
      <x:c r="E47" s="7" t="n">
        <x:f>D47/281</x:f>
        <x:v>0.0711743772241993</x:v>
      </x:c>
      <x:c r="F47" s="2" t="str">
        <x:v>S11,S18,S27,S42</x:v>
      </x:c>
    </x:row>
    <x:row r="48" ht="23" customHeight="1">
      <x:c r="A48" s="2" t="str">
        <x:v>Repeat count</x:v>
      </x:c>
      <x:c r="B48" s="2" t="n">
        <x:f>COUNTIF('03_Study_Config'!$Y$2:$Y$62,"Yes")</x:f>
        <x:v>12</x:v>
      </x:c>
      <x:c r="C48" s="7" t="n">
        <x:f>B48/61</x:f>
        <x:v>0.19672131147540983</x:v>
      </x:c>
      <x:c r="D48" s="2" t="n">
        <x:f>COUNTIFS('01_Model_Uses'!$X$2:$X$282,"&lt;&gt;NR",'01_Model_Uses'!$X$2:$X$282,"&lt;&gt;NA",'01_Model_Uses'!$X$2:$X$282,"&lt;&gt;Unclear",'01_Model_Uses'!$X$2:$X$282,"&lt;&gt;")</x:f>
        <x:v>64</x:v>
      </x:c>
      <x:c r="E48" s="7" t="n">
        <x:f>D48/281</x:f>
        <x:v>0.2277580071174377</x:v>
      </x:c>
      <x:c r="F48" s="2" t="str">
        <x:v>S02,S05,S07,S11,S16,S19,S29,S34,S41,S45,S49,S51</x:v>
      </x:c>
    </x:row>
    <x:row r="49" ht="23" customHeight="1">
      <x:c r="A49" s="2" t="str">
        <x:v>Context window</x:v>
      </x:c>
      <x:c r="B49" s="2" t="n">
        <x:f>COUNTIF('03_Study_Config'!$Z$2:$Z$62,"Yes")</x:f>
        <x:v>10</x:v>
      </x:c>
      <x:c r="C49" s="7" t="n">
        <x:f>B49/61</x:f>
        <x:v>0.16393442622950818</x:v>
      </x:c>
      <x:c r="D49" s="2" t="n">
        <x:f>COUNTIFS('01_Model_Uses'!$Y$2:$Y$282,"&lt;&gt;NR",'01_Model_Uses'!$Y$2:$Y$282,"&lt;&gt;NA",'01_Model_Uses'!$Y$2:$Y$282,"&lt;&gt;Unclear",'01_Model_Uses'!$Y$2:$Y$282,"&lt;&gt;")</x:f>
        <x:v>32</x:v>
      </x:c>
      <x:c r="E49" s="7" t="n">
        <x:f>D49/281</x:f>
        <x:v>0.11387900355871886</x:v>
      </x:c>
      <x:c r="F49" s="2" t="str">
        <x:v>S05,S06,S08,S16,S19,S21,S28,S34,S50,S52</x:v>
      </x:c>
    </x:row>
    <x:row r="50" ht="23" customHeight="1">
      <x:c r="A50" s="2" t="str">
        <x:v>Privacy control</x:v>
      </x:c>
      <x:c r="B50" s="2" t="n">
        <x:f>COUNTIF('03_Study_Config'!$AA$2:$AA$62,"Yes")</x:f>
        <x:v>0</x:v>
      </x:c>
      <x:c r="C50" s="7" t="n">
        <x:f>B50/61</x:f>
        <x:v>0</x:v>
      </x:c>
      <x:c r="D50" s="2" t="n">
        <x:f>COUNTIFS('01_Model_Uses'!$Z$2:$Z$282,"&lt;&gt;NR",'01_Model_Uses'!$Z$2:$Z$282,"&lt;&gt;NA",'01_Model_Uses'!$Z$2:$Z$282,"&lt;&gt;Unclear",'01_Model_Uses'!$Z$2:$Z$282,"&lt;&gt;")</x:f>
        <x:v>0</x:v>
      </x:c>
      <x:c r="E50" s="7" t="n">
        <x:f>D50/281</x:f>
        <x:v>0</x:v>
      </x:c>
      <x:c r="F50" s="2"/>
    </x:row>
    <x:row r="51" ht="23" customHeight="1">
      <x:c r="A51" s="2" t="str">
        <x:v>Cost</x:v>
      </x:c>
      <x:c r="B51" s="2" t="n">
        <x:f>COUNTIF('03_Study_Config'!$AB$2:$AB$62,"Yes")</x:f>
        <x:v>10</x:v>
      </x:c>
      <x:c r="C51" s="7" t="n">
        <x:f>B51/61</x:f>
        <x:v>0.16393442622950818</x:v>
      </x:c>
      <x:c r="D51" s="2" t="n">
        <x:f>COUNTIF('01_Model_Uses'!$AA$2:$AA$282,"Yes")</x:f>
        <x:v>30</x:v>
      </x:c>
      <x:c r="E51" s="7" t="n">
        <x:f>D51/281</x:f>
        <x:v>0.10676156583629894</x:v>
      </x:c>
      <x:c r="F51" s="2" t="str">
        <x:v>S01,S06,S07,S10,S11,S12,S36,S40,S44,S48</x:v>
      </x:c>
    </x:row>
    <x:row r="52" ht="23" customHeight="1">
      <x:c r="A52" s="2" t="str">
        <x:v>Latency</x:v>
      </x:c>
      <x:c r="B52" s="2" t="n">
        <x:f>COUNTIF('03_Study_Config'!$AC$2:$AC$62,"Yes")</x:f>
        <x:v>6</x:v>
      </x:c>
      <x:c r="C52" s="7" t="n">
        <x:f>B52/61</x:f>
        <x:v>0.09836065573770492</x:v>
      </x:c>
      <x:c r="D52" s="2" t="n">
        <x:f>COUNTIF('01_Model_Uses'!$AB$2:$AB$282,"Yes")</x:f>
        <x:v>21</x:v>
      </x:c>
      <x:c r="E52" s="7" t="n">
        <x:f>D52/281</x:f>
        <x:v>0.07473309608540925</x:v>
      </x:c>
      <x:c r="F52" s="2" t="str">
        <x:v>S06,S11,S34,S36,S48,S50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s>
  <x:sheetData>
    <x:row r="1" ht="38" customHeight="1">
      <x:c r="A1" s="5" t="str">
        <x:v>Configuration Reporting Completeness (N = 61)</x:v>
      </x:c>
      <x:c r="B1" s="5"/>
      <x:c r="C1" s="5"/>
      <x:c r="D1" s="5"/>
      <x:c r="E1" s="5"/>
      <x:c r="F1" s="5"/>
      <x:c r="G1" s="5"/>
      <x:c r="H1" s="5"/>
      <x:c r="I1" s="5"/>
    </x:row>
    <x:row r="2" ht="23" customHeight="1">
      <x:c r="A2" s="2"/>
      <x:c r="B2" s="2"/>
      <x:c r="C2" s="2"/>
      <x:c r="D2" s="2"/>
      <x:c r="E2" s="2"/>
      <x:c r="F2" s="2"/>
      <x:c r="G2" s="2"/>
      <x:c r="H2" s="2"/>
      <x:c r="I2" s="2"/>
    </x:row>
    <x:row r="3" ht="23" customHeight="1">
      <x:c r="A3" s="2" t="str">
        <x:v>Dimension</x:v>
      </x:c>
      <x:c r="B3" s="2" t="str">
        <x:v>Reported</x:v>
      </x:c>
      <x:c r="C3" s="2" t="str">
        <x:v>%</x:v>
      </x:c>
      <x:c r="D3" s="2" t="str">
        <x:v>Partially reported</x:v>
      </x:c>
      <x:c r="E3" s="2" t="str">
        <x:v>%</x:v>
      </x:c>
      <x:c r="F3" s="2" t="str">
        <x:v>NR</x:v>
      </x:c>
      <x:c r="G3" s="2" t="str">
        <x:v>%</x:v>
      </x:c>
      <x:c r="H3" s="2" t="str">
        <x:v>NA</x:v>
      </x:c>
      <x:c r="I3" s="2" t="str">
        <x:v>%</x:v>
      </x:c>
    </x:row>
    <x:row r="4" ht="23" customHeight="1">
      <x:c r="A4" s="2" t="str">
        <x:v>Model identification</x:v>
      </x:c>
      <x:c r="B4" s="2" t="n">
        <x:f>COUNTIF('04_Reproducibility'!$I$2:$I$62,"Reported")</x:f>
        <x:v>47</x:v>
      </x:c>
      <x:c r="C4" s="7" t="n">
        <x:f>B4/61</x:f>
        <x:v>0.7704918032786885</x:v>
      </x:c>
      <x:c r="D4" s="2" t="n">
        <x:f>COUNTIF('04_Reproducibility'!$I$2:$I$62,"Partially reported")</x:f>
        <x:v>3</x:v>
      </x:c>
      <x:c r="E4" s="7" t="n">
        <x:f>D4/61</x:f>
        <x:v>0.04918032786885246</x:v>
      </x:c>
      <x:c r="F4" s="2" t="n">
        <x:f>COUNTIF('04_Reproducibility'!$I$2:$I$62,"NR")</x:f>
        <x:v>11</x:v>
      </x:c>
      <x:c r="G4" s="7" t="n">
        <x:f>F4/61</x:f>
        <x:v>0.18032786885245902</x:v>
      </x:c>
      <x:c r="H4" s="2" t="n">
        <x:f>COUNTIF('04_Reproducibility'!$I$2:$I$62,"NA")</x:f>
        <x:v>0</x:v>
      </x:c>
      <x:c r="I4" s="7" t="n">
        <x:f>H4/61</x:f>
        <x:v>0</x:v>
      </x:c>
    </x:row>
    <x:row r="5" ht="23" customHeight="1">
      <x:c r="A5" s="2" t="str">
        <x:v>Access and deployment</x:v>
      </x:c>
      <x:c r="B5" s="2" t="n">
        <x:f>COUNTIF('04_Reproducibility'!$K$2:$K$62,"Reported")</x:f>
        <x:v>3</x:v>
      </x:c>
      <x:c r="C5" s="7" t="n">
        <x:f>B5/61</x:f>
        <x:v>0.04918032786885246</x:v>
      </x:c>
      <x:c r="D5" s="2" t="n">
        <x:f>COUNTIF('04_Reproducibility'!$K$2:$K$62,"Partially reported")</x:f>
        <x:v>49</x:v>
      </x:c>
      <x:c r="E5" s="7" t="n">
        <x:f>D5/61</x:f>
        <x:v>0.8032786885245902</x:v>
      </x:c>
      <x:c r="F5" s="2" t="n">
        <x:f>COUNTIF('04_Reproducibility'!$K$2:$K$62,"NR")</x:f>
        <x:v>9</x:v>
      </x:c>
      <x:c r="G5" s="7" t="n">
        <x:f>F5/61</x:f>
        <x:v>0.14754098360655737</x:v>
      </x:c>
      <x:c r="H5" s="2" t="n">
        <x:f>COUNTIF('04_Reproducibility'!$K$2:$K$62,"NA")</x:f>
        <x:v>0</x:v>
      </x:c>
      <x:c r="I5" s="7" t="n">
        <x:f>H5/61</x:f>
        <x:v>0</x:v>
      </x:c>
    </x:row>
    <x:row r="6" ht="23" customHeight="1">
      <x:c r="A6" s="2" t="str">
        <x:v>Prompt and context specification</x:v>
      </x:c>
      <x:c r="B6" s="2" t="n">
        <x:f>COUNTIF('04_Reproducibility'!$M$2:$M$62,"Reported")</x:f>
        <x:v>19</x:v>
      </x:c>
      <x:c r="C6" s="7" t="n">
        <x:f>B6/61</x:f>
        <x:v>0.3114754098360656</x:v>
      </x:c>
      <x:c r="D6" s="2" t="n">
        <x:f>COUNTIF('04_Reproducibility'!$M$2:$M$62,"Partially reported")</x:f>
        <x:v>34</x:v>
      </x:c>
      <x:c r="E6" s="7" t="n">
        <x:f>D6/61</x:f>
        <x:v>0.5573770491803278</x:v>
      </x:c>
      <x:c r="F6" s="2" t="n">
        <x:f>COUNTIF('04_Reproducibility'!$M$2:$M$62,"NR")</x:f>
        <x:v>8</x:v>
      </x:c>
      <x:c r="G6" s="7" t="n">
        <x:f>F6/61</x:f>
        <x:v>0.13114754098360656</x:v>
      </x:c>
      <x:c r="H6" s="2" t="n">
        <x:f>COUNTIF('04_Reproducibility'!$M$2:$M$62,"NA")</x:f>
        <x:v>0</x:v>
      </x:c>
      <x:c r="I6" s="7" t="n">
        <x:f>H6/61</x:f>
        <x:v>0</x:v>
      </x:c>
    </x:row>
    <x:row r="7" ht="23" customHeight="1">
      <x:c r="A7" s="2" t="str">
        <x:v>Invocation and stochasticity controls</x:v>
      </x:c>
      <x:c r="B7" s="2" t="n">
        <x:f>COUNTIF('04_Reproducibility'!$O$2:$O$62,"Reported")</x:f>
        <x:v>1</x:v>
      </x:c>
      <x:c r="C7" s="7" t="n">
        <x:f>B7/61</x:f>
        <x:v>0.01639344262295082</x:v>
      </x:c>
      <x:c r="D7" s="2" t="n">
        <x:f>COUNTIF('04_Reproducibility'!$O$2:$O$62,"Partially reported")</x:f>
        <x:v>32</x:v>
      </x:c>
      <x:c r="E7" s="7" t="n">
        <x:f>D7/61</x:f>
        <x:v>0.5245901639344263</x:v>
      </x:c>
      <x:c r="F7" s="2" t="n">
        <x:f>COUNTIF('04_Reproducibility'!$O$2:$O$62,"NR")</x:f>
        <x:v>28</x:v>
      </x:c>
      <x:c r="G7" s="7" t="n">
        <x:f>F7/61</x:f>
        <x:v>0.45901639344262296</x:v>
      </x:c>
      <x:c r="H7" s="2" t="n">
        <x:f>COUNTIF('04_Reproducibility'!$O$2:$O$62,"NA")</x:f>
        <x:v>0</x:v>
      </x:c>
      <x:c r="I7" s="7" t="n">
        <x:f>H7/61</x:f>
        <x:v>0</x:v>
      </x:c>
    </x:row>
    <x:row r="8" ht="23" customHeight="1">
      <x:c r="A8" s="2" t="str">
        <x:v>Parameter adaptation (context only)</x:v>
      </x:c>
      <x:c r="B8" s="2" t="n">
        <x:f>COUNTIF('04_Reproducibility'!$Q$2:$Q$62,"Reported")</x:f>
        <x:v>0</x:v>
      </x:c>
      <x:c r="C8" s="7" t="n">
        <x:f>B8/61</x:f>
        <x:v>0</x:v>
      </x:c>
      <x:c r="D8" s="2" t="n">
        <x:f>COUNTIF('04_Reproducibility'!$Q$2:$Q$62,"Partially reported")</x:f>
        <x:v>0</x:v>
      </x:c>
      <x:c r="E8" s="7" t="n">
        <x:f>D8/61</x:f>
        <x:v>0</x:v>
      </x:c>
      <x:c r="F8" s="2" t="n">
        <x:f>COUNTIF('04_Reproducibility'!$Q$2:$Q$62,"NR")</x:f>
        <x:v>0</x:v>
      </x:c>
      <x:c r="G8" s="7" t="n">
        <x:f>F8/61</x:f>
        <x:v>0</x:v>
      </x:c>
      <x:c r="H8" s="2" t="n">
        <x:f>COUNTIF('04_Reproducibility'!$Q$2:$Q$62,"NA")</x:f>
        <x:v>61</x:v>
      </x:c>
      <x:c r="I8" s="7" t="n">
        <x:f>H8/61</x:f>
        <x:v>1</x:v>
      </x:c>
    </x:row>
    <x:row r="9" ht="23" customHeight="1">
      <x:c r="A9" s="2"/>
      <x:c r="B9" s="2"/>
      <x:c r="C9" s="2"/>
      <x:c r="D9" s="2"/>
      <x:c r="E9" s="2"/>
      <x:c r="F9" s="2"/>
      <x:c r="G9" s="2"/>
      <x:c r="H9" s="2"/>
      <x:c r="I9" s="2"/>
    </x:row>
    <x:row r="10" ht="23" customHeight="1">
      <x:c r="A10" s="2" t="str">
        <x:v>Interpretation</x:v>
      </x:c>
      <x:c r="B10" s="2"/>
      <x:c r="C10" s="2"/>
      <x:c r="D10" s="2"/>
      <x:c r="E10" s="2"/>
      <x:c r="F10" s="2"/>
      <x:c r="G10" s="2"/>
      <x:c r="H10" s="2"/>
      <x:c r="I10" s="2"/>
    </x:row>
    <x:row r="11" ht="98" customHeight="1">
      <x:c r="A11" s="2" t="str">
        <x:v>Reported denotes complete configuration reporting under the prespecified rules; Partially reported denotes usable but incomplete information; NR denotes no usable report; NA denotes a configuration that does not apply. No composite reproducibility score is calculated, and no execution result is inferred from reporting status.</x:v>
      </x:c>
      <x:c r="B11" s="2"/>
      <x:c r="C11" s="2"/>
      <x:c r="D11" s="2"/>
      <x:c r="E11" s="2"/>
      <x:c r="F11" s="2"/>
      <x:c r="G11" s="2"/>
      <x:c r="H11" s="2"/>
      <x:c r="I11" s="2"/>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52" hidden="0" customWidth="1"/>
    <x:col min="3" max="3" width="19" hidden="0" customWidth="1"/>
    <x:col min="4" max="4" width="20" hidden="0" customWidth="1"/>
  </x:cols>
  <x:sheetData>
    <x:row r="1" ht="38" customHeight="1">
      <x:c r="A1" s="5" t="str">
        <x:v>Membership type</x:v>
      </x:c>
      <x:c r="B1" s="5" t="str">
        <x:v>Category</x:v>
      </x:c>
      <x:c r="C1" s="5" t="str">
        <x:v>Study ID</x:v>
      </x:c>
      <x:c r="D1" s="5" t="str">
        <x:v>Citation key</x:v>
      </x:c>
    </x:row>
    <x:row r="2" ht="23" customHeight="1">
      <x:c r="A2" s="2" t="str">
        <x:v>Model family</x:v>
      </x:c>
      <x:c r="B2" s="6" t="str">
        <x:v>Claude</x:v>
      </x:c>
      <x:c r="C2" s="2" t="str">
        <x:v>G8</x:v>
      </x:c>
      <x:c r="D2" s="2" t="str">
        <x:v>G8</x:v>
      </x:c>
    </x:row>
    <x:row r="3" ht="23" customHeight="1">
      <x:c r="A3" s="2" t="str">
        <x:v>Model family</x:v>
      </x:c>
      <x:c r="B3" s="6" t="str">
        <x:v>Claude</x:v>
      </x:c>
      <x:c r="C3" s="2" t="str">
        <x:v>S05</x:v>
      </x:c>
      <x:c r="D3" s="2" t="str">
        <x:v>merged_0077</x:v>
      </x:c>
    </x:row>
    <x:row r="4" ht="23" customHeight="1">
      <x:c r="A4" s="2" t="str">
        <x:v>Model family</x:v>
      </x:c>
      <x:c r="B4" s="6" t="str">
        <x:v>Claude</x:v>
      </x:c>
      <x:c r="C4" s="2" t="str">
        <x:v>S12</x:v>
      </x:c>
      <x:c r="D4" s="2" t="str">
        <x:v>merged_1133</x:v>
      </x:c>
    </x:row>
    <x:row r="5" ht="23" customHeight="1">
      <x:c r="A5" s="2" t="str">
        <x:v>Model family</x:v>
      </x:c>
      <x:c r="B5" s="6" t="str">
        <x:v>Claude</x:v>
      </x:c>
      <x:c r="C5" s="2" t="str">
        <x:v>S13</x:v>
      </x:c>
      <x:c r="D5" s="2" t="str">
        <x:v>merged_1140</x:v>
      </x:c>
    </x:row>
    <x:row r="6" ht="23" customHeight="1">
      <x:c r="A6" s="2" t="str">
        <x:v>Model family</x:v>
      </x:c>
      <x:c r="B6" s="6" t="str">
        <x:v>Claude</x:v>
      </x:c>
      <x:c r="C6" s="2" t="str">
        <x:v>S21</x:v>
      </x:c>
      <x:c r="D6" s="2" t="str">
        <x:v>merged_1152</x:v>
      </x:c>
    </x:row>
    <x:row r="7" ht="23" customHeight="1">
      <x:c r="A7" s="2" t="str">
        <x:v>Model family</x:v>
      </x:c>
      <x:c r="B7" s="6" t="str">
        <x:v>Claude</x:v>
      </x:c>
      <x:c r="C7" s="2" t="str">
        <x:v>S29</x:v>
      </x:c>
      <x:c r="D7" s="2" t="str">
        <x:v>merged_1215</x:v>
      </x:c>
    </x:row>
    <x:row r="8" ht="23" customHeight="1">
      <x:c r="A8" s="2" t="str">
        <x:v>Model family</x:v>
      </x:c>
      <x:c r="B8" s="6" t="str">
        <x:v>Claude</x:v>
      </x:c>
      <x:c r="C8" s="2" t="str">
        <x:v>S34</x:v>
      </x:c>
      <x:c r="D8" s="2" t="str">
        <x:v>merged_1224</x:v>
      </x:c>
    </x:row>
    <x:row r="9" ht="23" customHeight="1">
      <x:c r="A9" s="2" t="str">
        <x:v>Model family</x:v>
      </x:c>
      <x:c r="B9" s="6" t="str">
        <x:v>Claude</x:v>
      </x:c>
      <x:c r="C9" s="2" t="str">
        <x:v>S41</x:v>
      </x:c>
      <x:c r="D9" s="2" t="str">
        <x:v>merged_1264</x:v>
      </x:c>
    </x:row>
    <x:row r="10" ht="23" customHeight="1">
      <x:c r="A10" s="2" t="str">
        <x:v>Model family</x:v>
      </x:c>
      <x:c r="B10" s="6" t="str">
        <x:v>Claude</x:v>
      </x:c>
      <x:c r="C10" s="2" t="str">
        <x:v>S46</x:v>
      </x:c>
      <x:c r="D10" s="2" t="str">
        <x:v>merged_1293</x:v>
      </x:c>
    </x:row>
    <x:row r="11" ht="23" customHeight="1">
      <x:c r="A11" s="2" t="str">
        <x:v>Model family</x:v>
      </x:c>
      <x:c r="B11" s="6" t="str">
        <x:v>Claude</x:v>
      </x:c>
      <x:c r="C11" s="2" t="str">
        <x:v>S51</x:v>
      </x:c>
      <x:c r="D11" s="2" t="str">
        <x:v>snowball_00085</x:v>
      </x:c>
    </x:row>
    <x:row r="12" ht="23" customHeight="1">
      <x:c r="A12" s="2" t="str">
        <x:v>Model family</x:v>
      </x:c>
      <x:c r="B12" s="6" t="str">
        <x:v>Claude</x:v>
      </x:c>
      <x:c r="C12" s="2" t="str">
        <x:v>S52</x:v>
      </x:c>
      <x:c r="D12" s="2" t="str">
        <x:v>snowball_00095</x:v>
      </x:c>
    </x:row>
    <x:row r="13" ht="23" customHeight="1">
      <x:c r="A13" s="2" t="str">
        <x:v>Model family</x:v>
      </x:c>
      <x:c r="B13" s="6" t="str">
        <x:v>Claude</x:v>
      </x:c>
      <x:c r="C13" s="2" t="str">
        <x:v>S53</x:v>
      </x:c>
      <x:c r="D13" s="2" t="str">
        <x:v>merged_1229</x:v>
      </x:c>
    </x:row>
    <x:row r="14" ht="23" customHeight="1">
      <x:c r="A14" s="2" t="str">
        <x:v>Model family</x:v>
      </x:c>
      <x:c r="B14" s="6" t="str">
        <x:v>DeepSeek</x:v>
      </x:c>
      <x:c r="C14" s="2" t="str">
        <x:v>S11</x:v>
      </x:c>
      <x:c r="D14" s="2" t="str">
        <x:v>merged_1121</x:v>
      </x:c>
    </x:row>
    <x:row r="15" ht="23" customHeight="1">
      <x:c r="A15" s="2" t="str">
        <x:v>Model family</x:v>
      </x:c>
      <x:c r="B15" s="6" t="str">
        <x:v>DeepSeek</x:v>
      </x:c>
      <x:c r="C15" s="2" t="str">
        <x:v>S34</x:v>
      </x:c>
      <x:c r="D15" s="2" t="str">
        <x:v>merged_1224</x:v>
      </x:c>
    </x:row>
    <x:row r="16" ht="23" customHeight="1">
      <x:c r="A16" s="2" t="str">
        <x:v>Model family</x:v>
      </x:c>
      <x:c r="B16" s="6" t="str">
        <x:v>DeepSeek</x:v>
      </x:c>
      <x:c r="C16" s="2" t="str">
        <x:v>S37</x:v>
      </x:c>
      <x:c r="D16" s="2" t="str">
        <x:v>merged_1238</x:v>
      </x:c>
    </x:row>
    <x:row r="17" ht="23" customHeight="1">
      <x:c r="A17" s="2" t="str">
        <x:v>Model family</x:v>
      </x:c>
      <x:c r="B17" s="6" t="str">
        <x:v>DeepSeek</x:v>
      </x:c>
      <x:c r="C17" s="2" t="str">
        <x:v>S38</x:v>
      </x:c>
      <x:c r="D17" s="2" t="str">
        <x:v>merged_1241</x:v>
      </x:c>
    </x:row>
    <x:row r="18" ht="23" customHeight="1">
      <x:c r="A18" s="2" t="str">
        <x:v>Model family</x:v>
      </x:c>
      <x:c r="B18" s="6" t="str">
        <x:v>DeepSeek</x:v>
      </x:c>
      <x:c r="C18" s="2" t="str">
        <x:v>S41</x:v>
      </x:c>
      <x:c r="D18" s="2" t="str">
        <x:v>merged_1264</x:v>
      </x:c>
    </x:row>
    <x:row r="19" ht="23" customHeight="1">
      <x:c r="A19" s="2" t="str">
        <x:v>Model family</x:v>
      </x:c>
      <x:c r="B19" s="6" t="str">
        <x:v>DeepSeek</x:v>
      </x:c>
      <x:c r="C19" s="2" t="str">
        <x:v>S43</x:v>
      </x:c>
      <x:c r="D19" s="2" t="str">
        <x:v>merged_1270</x:v>
      </x:c>
    </x:row>
    <x:row r="20" ht="23" customHeight="1">
      <x:c r="A20" s="2" t="str">
        <x:v>Model family</x:v>
      </x:c>
      <x:c r="B20" s="6" t="str">
        <x:v>GPT</x:v>
      </x:c>
      <x:c r="C20" s="2" t="str">
        <x:v>G1</x:v>
      </x:c>
      <x:c r="D20" s="2" t="str">
        <x:v>G1</x:v>
      </x:c>
    </x:row>
    <x:row r="21" ht="23" customHeight="1">
      <x:c r="A21" s="2" t="str">
        <x:v>Model family</x:v>
      </x:c>
      <x:c r="B21" s="6" t="str">
        <x:v>GPT</x:v>
      </x:c>
      <x:c r="C21" s="2" t="str">
        <x:v>S01</x:v>
      </x:c>
      <x:c r="D21" s="2" t="str">
        <x:v>merged_0002</x:v>
      </x:c>
    </x:row>
    <x:row r="22" ht="23" customHeight="1">
      <x:c r="A22" s="2" t="str">
        <x:v>Model family</x:v>
      </x:c>
      <x:c r="B22" s="6" t="str">
        <x:v>GPT</x:v>
      </x:c>
      <x:c r="C22" s="2" t="str">
        <x:v>S02</x:v>
      </x:c>
      <x:c r="D22" s="2" t="str">
        <x:v>merged_0007</x:v>
      </x:c>
    </x:row>
    <x:row r="23" ht="23" customHeight="1">
      <x:c r="A23" s="2" t="str">
        <x:v>Model family</x:v>
      </x:c>
      <x:c r="B23" s="6" t="str">
        <x:v>GPT</x:v>
      </x:c>
      <x:c r="C23" s="2" t="str">
        <x:v>S03</x:v>
      </x:c>
      <x:c r="D23" s="2" t="str">
        <x:v>merged_0014</x:v>
      </x:c>
    </x:row>
    <x:row r="24" ht="23" customHeight="1">
      <x:c r="A24" s="2" t="str">
        <x:v>Model family</x:v>
      </x:c>
      <x:c r="B24" s="6" t="str">
        <x:v>GPT</x:v>
      </x:c>
      <x:c r="C24" s="2" t="str">
        <x:v>S04</x:v>
      </x:c>
      <x:c r="D24" s="2" t="str">
        <x:v>merged_0075</x:v>
      </x:c>
    </x:row>
    <x:row r="25" ht="23" customHeight="1">
      <x:c r="A25" s="2" t="str">
        <x:v>Model family</x:v>
      </x:c>
      <x:c r="B25" s="6" t="str">
        <x:v>GPT</x:v>
      </x:c>
      <x:c r="C25" s="2" t="str">
        <x:v>S05</x:v>
      </x:c>
      <x:c r="D25" s="2" t="str">
        <x:v>merged_0077</x:v>
      </x:c>
    </x:row>
    <x:row r="26" ht="23" customHeight="1">
      <x:c r="A26" s="2" t="str">
        <x:v>Model family</x:v>
      </x:c>
      <x:c r="B26" s="6" t="str">
        <x:v>GPT</x:v>
      </x:c>
      <x:c r="C26" s="2" t="str">
        <x:v>S06</x:v>
      </x:c>
      <x:c r="D26" s="2" t="str">
        <x:v>merged_0079</x:v>
      </x:c>
    </x:row>
    <x:row r="27" ht="23" customHeight="1">
      <x:c r="A27" s="2" t="str">
        <x:v>Model family</x:v>
      </x:c>
      <x:c r="B27" s="6" t="str">
        <x:v>GPT</x:v>
      </x:c>
      <x:c r="C27" s="2" t="str">
        <x:v>S07</x:v>
      </x:c>
      <x:c r="D27" s="2" t="str">
        <x:v>merged_0110</x:v>
      </x:c>
    </x:row>
    <x:row r="28" ht="23" customHeight="1">
      <x:c r="A28" s="2" t="str">
        <x:v>Model family</x:v>
      </x:c>
      <x:c r="B28" s="6" t="str">
        <x:v>GPT</x:v>
      </x:c>
      <x:c r="C28" s="2" t="str">
        <x:v>S08</x:v>
      </x:c>
      <x:c r="D28" s="2" t="str">
        <x:v>merged_0256</x:v>
      </x:c>
    </x:row>
    <x:row r="29" ht="23" customHeight="1">
      <x:c r="A29" s="2" t="str">
        <x:v>Model family</x:v>
      </x:c>
      <x:c r="B29" s="6" t="str">
        <x:v>GPT</x:v>
      </x:c>
      <x:c r="C29" s="2" t="str">
        <x:v>S10</x:v>
      </x:c>
      <x:c r="D29" s="2" t="str">
        <x:v>merged_1119</x:v>
      </x:c>
    </x:row>
    <x:row r="30" ht="23" customHeight="1">
      <x:c r="A30" s="2" t="str">
        <x:v>Model family</x:v>
      </x:c>
      <x:c r="B30" s="6" t="str">
        <x:v>GPT</x:v>
      </x:c>
      <x:c r="C30" s="2" t="str">
        <x:v>S12</x:v>
      </x:c>
      <x:c r="D30" s="2" t="str">
        <x:v>merged_1133</x:v>
      </x:c>
    </x:row>
    <x:row r="31" ht="23" customHeight="1">
      <x:c r="A31" s="2" t="str">
        <x:v>Model family</x:v>
      </x:c>
      <x:c r="B31" s="6" t="str">
        <x:v>GPT</x:v>
      </x:c>
      <x:c r="C31" s="2" t="str">
        <x:v>S13</x:v>
      </x:c>
      <x:c r="D31" s="2" t="str">
        <x:v>merged_1140</x:v>
      </x:c>
    </x:row>
    <x:row r="32" ht="23" customHeight="1">
      <x:c r="A32" s="2" t="str">
        <x:v>Model family</x:v>
      </x:c>
      <x:c r="B32" s="6" t="str">
        <x:v>GPT</x:v>
      </x:c>
      <x:c r="C32" s="2" t="str">
        <x:v>S15</x:v>
      </x:c>
      <x:c r="D32" s="2" t="str">
        <x:v>merged_1143</x:v>
      </x:c>
    </x:row>
    <x:row r="33" ht="23" customHeight="1">
      <x:c r="A33" s="2" t="str">
        <x:v>Model family</x:v>
      </x:c>
      <x:c r="B33" s="6" t="str">
        <x:v>GPT</x:v>
      </x:c>
      <x:c r="C33" s="2" t="str">
        <x:v>S16</x:v>
      </x:c>
      <x:c r="D33" s="2" t="str">
        <x:v>merged_1144</x:v>
      </x:c>
    </x:row>
    <x:row r="34" ht="23" customHeight="1">
      <x:c r="A34" s="2" t="str">
        <x:v>Model family</x:v>
      </x:c>
      <x:c r="B34" s="6" t="str">
        <x:v>GPT</x:v>
      </x:c>
      <x:c r="C34" s="2" t="str">
        <x:v>S17</x:v>
      </x:c>
      <x:c r="D34" s="2" t="str">
        <x:v>merged_1148</x:v>
      </x:c>
    </x:row>
    <x:row r="35" ht="23" customHeight="1">
      <x:c r="A35" s="2" t="str">
        <x:v>Model family</x:v>
      </x:c>
      <x:c r="B35" s="6" t="str">
        <x:v>GPT</x:v>
      </x:c>
      <x:c r="C35" s="2" t="str">
        <x:v>S18</x:v>
      </x:c>
      <x:c r="D35" s="2" t="str">
        <x:v>merged_1149</x:v>
      </x:c>
    </x:row>
    <x:row r="36" ht="23" customHeight="1">
      <x:c r="A36" s="2" t="str">
        <x:v>Model family</x:v>
      </x:c>
      <x:c r="B36" s="6" t="str">
        <x:v>GPT</x:v>
      </x:c>
      <x:c r="C36" s="2" t="str">
        <x:v>S19</x:v>
      </x:c>
      <x:c r="D36" s="2" t="str">
        <x:v>merged_1150</x:v>
      </x:c>
    </x:row>
    <x:row r="37" ht="23" customHeight="1">
      <x:c r="A37" s="2" t="str">
        <x:v>Model family</x:v>
      </x:c>
      <x:c r="B37" s="6" t="str">
        <x:v>GPT</x:v>
      </x:c>
      <x:c r="C37" s="2" t="str">
        <x:v>S20</x:v>
      </x:c>
      <x:c r="D37" s="2" t="str">
        <x:v>merged_1151</x:v>
      </x:c>
    </x:row>
    <x:row r="38" ht="23" customHeight="1">
      <x:c r="A38" s="2" t="str">
        <x:v>Model family</x:v>
      </x:c>
      <x:c r="B38" s="6" t="str">
        <x:v>GPT</x:v>
      </x:c>
      <x:c r="C38" s="2" t="str">
        <x:v>S27</x:v>
      </x:c>
      <x:c r="D38" s="2" t="str">
        <x:v>merged_1213</x:v>
      </x:c>
    </x:row>
    <x:row r="39" ht="23" customHeight="1">
      <x:c r="A39" s="2" t="str">
        <x:v>Model family</x:v>
      </x:c>
      <x:c r="B39" s="6" t="str">
        <x:v>GPT</x:v>
      </x:c>
      <x:c r="C39" s="2" t="str">
        <x:v>S31</x:v>
      </x:c>
      <x:c r="D39" s="2" t="str">
        <x:v>merged_1219</x:v>
      </x:c>
    </x:row>
    <x:row r="40" ht="23" customHeight="1">
      <x:c r="A40" s="2" t="str">
        <x:v>Model family</x:v>
      </x:c>
      <x:c r="B40" s="6" t="str">
        <x:v>GPT</x:v>
      </x:c>
      <x:c r="C40" s="2" t="str">
        <x:v>S34</x:v>
      </x:c>
      <x:c r="D40" s="2" t="str">
        <x:v>merged_1224</x:v>
      </x:c>
    </x:row>
    <x:row r="41" ht="23" customHeight="1">
      <x:c r="A41" s="2" t="str">
        <x:v>Model family</x:v>
      </x:c>
      <x:c r="B41" s="6" t="str">
        <x:v>GPT</x:v>
      </x:c>
      <x:c r="C41" s="2" t="str">
        <x:v>S35</x:v>
      </x:c>
      <x:c r="D41" s="2" t="str">
        <x:v>merged_1225</x:v>
      </x:c>
    </x:row>
    <x:row r="42" ht="23" customHeight="1">
      <x:c r="A42" s="2" t="str">
        <x:v>Model family</x:v>
      </x:c>
      <x:c r="B42" s="6" t="str">
        <x:v>GPT</x:v>
      </x:c>
      <x:c r="C42" s="2" t="str">
        <x:v>S38</x:v>
      </x:c>
      <x:c r="D42" s="2" t="str">
        <x:v>merged_1241</x:v>
      </x:c>
    </x:row>
    <x:row r="43" ht="23" customHeight="1">
      <x:c r="A43" s="2" t="str">
        <x:v>Model family</x:v>
      </x:c>
      <x:c r="B43" s="6" t="str">
        <x:v>GPT</x:v>
      </x:c>
      <x:c r="C43" s="2" t="str">
        <x:v>S39</x:v>
      </x:c>
      <x:c r="D43" s="2" t="str">
        <x:v>merged_1245</x:v>
      </x:c>
    </x:row>
    <x:row r="44" ht="23" customHeight="1">
      <x:c r="A44" s="2" t="str">
        <x:v>Model family</x:v>
      </x:c>
      <x:c r="B44" s="6" t="str">
        <x:v>GPT</x:v>
      </x:c>
      <x:c r="C44" s="2" t="str">
        <x:v>S40</x:v>
      </x:c>
      <x:c r="D44" s="2" t="str">
        <x:v>merged_1263</x:v>
      </x:c>
    </x:row>
    <x:row r="45" ht="23" customHeight="1">
      <x:c r="A45" s="2" t="str">
        <x:v>Model family</x:v>
      </x:c>
      <x:c r="B45" s="6" t="str">
        <x:v>GPT</x:v>
      </x:c>
      <x:c r="C45" s="2" t="str">
        <x:v>S41</x:v>
      </x:c>
      <x:c r="D45" s="2" t="str">
        <x:v>merged_1264</x:v>
      </x:c>
    </x:row>
    <x:row r="46" ht="23" customHeight="1">
      <x:c r="A46" s="2" t="str">
        <x:v>Model family</x:v>
      </x:c>
      <x:c r="B46" s="6" t="str">
        <x:v>GPT</x:v>
      </x:c>
      <x:c r="C46" s="2" t="str">
        <x:v>S42</x:v>
      </x:c>
      <x:c r="D46" s="2" t="str">
        <x:v>merged_1266</x:v>
      </x:c>
    </x:row>
    <x:row r="47" ht="23" customHeight="1">
      <x:c r="A47" s="2" t="str">
        <x:v>Model family</x:v>
      </x:c>
      <x:c r="B47" s="6" t="str">
        <x:v>GPT</x:v>
      </x:c>
      <x:c r="C47" s="2" t="str">
        <x:v>S44</x:v>
      </x:c>
      <x:c r="D47" s="2" t="str">
        <x:v>merged_1274</x:v>
      </x:c>
    </x:row>
    <x:row r="48" ht="23" customHeight="1">
      <x:c r="A48" s="2" t="str">
        <x:v>Model family</x:v>
      </x:c>
      <x:c r="B48" s="6" t="str">
        <x:v>GPT</x:v>
      </x:c>
      <x:c r="C48" s="2" t="str">
        <x:v>S45</x:v>
      </x:c>
      <x:c r="D48" s="2" t="str">
        <x:v>merged_1275</x:v>
      </x:c>
    </x:row>
    <x:row r="49" ht="23" customHeight="1">
      <x:c r="A49" s="2" t="str">
        <x:v>Model family</x:v>
      </x:c>
      <x:c r="B49" s="6" t="str">
        <x:v>GPT</x:v>
      </x:c>
      <x:c r="C49" s="2" t="str">
        <x:v>S46</x:v>
      </x:c>
      <x:c r="D49" s="2" t="str">
        <x:v>merged_1293</x:v>
      </x:c>
    </x:row>
    <x:row r="50" ht="23" customHeight="1">
      <x:c r="A50" s="2" t="str">
        <x:v>Model family</x:v>
      </x:c>
      <x:c r="B50" s="6" t="str">
        <x:v>GPT</x:v>
      </x:c>
      <x:c r="C50" s="2" t="str">
        <x:v>S48</x:v>
      </x:c>
      <x:c r="D50" s="2" t="str">
        <x:v>merged_1441</x:v>
      </x:c>
    </x:row>
    <x:row r="51" ht="23" customHeight="1">
      <x:c r="A51" s="2" t="str">
        <x:v>Model family</x:v>
      </x:c>
      <x:c r="B51" s="6" t="str">
        <x:v>GPT</x:v>
      </x:c>
      <x:c r="C51" s="2" t="str">
        <x:v>S49</x:v>
      </x:c>
      <x:c r="D51" s="2" t="str">
        <x:v>merged_1486</x:v>
      </x:c>
    </x:row>
    <x:row r="52" ht="23" customHeight="1">
      <x:c r="A52" s="2" t="str">
        <x:v>Model family</x:v>
      </x:c>
      <x:c r="B52" s="6" t="str">
        <x:v>GPT</x:v>
      </x:c>
      <x:c r="C52" s="2" t="str">
        <x:v>S51</x:v>
      </x:c>
      <x:c r="D52" s="2" t="str">
        <x:v>snowball_00085</x:v>
      </x:c>
    </x:row>
    <x:row r="53" ht="23" customHeight="1">
      <x:c r="A53" s="2" t="str">
        <x:v>Model family</x:v>
      </x:c>
      <x:c r="B53" s="6" t="str">
        <x:v>GPT</x:v>
      </x:c>
      <x:c r="C53" s="2" t="str">
        <x:v>S53</x:v>
      </x:c>
      <x:c r="D53" s="2" t="str">
        <x:v>merged_1229</x:v>
      </x:c>
    </x:row>
    <x:row r="54" ht="23" customHeight="1">
      <x:c r="A54" s="2" t="str">
        <x:v>Model family</x:v>
      </x:c>
      <x:c r="B54" s="6" t="str">
        <x:v>Gemini</x:v>
      </x:c>
      <x:c r="C54" s="2" t="str">
        <x:v>S12</x:v>
      </x:c>
      <x:c r="D54" s="2" t="str">
        <x:v>merged_1133</x:v>
      </x:c>
    </x:row>
    <x:row r="55" ht="23" customHeight="1">
      <x:c r="A55" s="2" t="str">
        <x:v>Model family</x:v>
      </x:c>
      <x:c r="B55" s="6" t="str">
        <x:v>Gemini</x:v>
      </x:c>
      <x:c r="C55" s="2" t="str">
        <x:v>S13</x:v>
      </x:c>
      <x:c r="D55" s="2" t="str">
        <x:v>merged_1140</x:v>
      </x:c>
    </x:row>
    <x:row r="56" ht="23" customHeight="1">
      <x:c r="A56" s="2" t="str">
        <x:v>Model family</x:v>
      </x:c>
      <x:c r="B56" s="6" t="str">
        <x:v>Gemini</x:v>
      </x:c>
      <x:c r="C56" s="2" t="str">
        <x:v>S14</x:v>
      </x:c>
      <x:c r="D56" s="2" t="str">
        <x:v>merged_1142</x:v>
      </x:c>
    </x:row>
    <x:row r="57" ht="23" customHeight="1">
      <x:c r="A57" s="2" t="str">
        <x:v>Model family</x:v>
      </x:c>
      <x:c r="B57" s="6" t="str">
        <x:v>Gemini</x:v>
      </x:c>
      <x:c r="C57" s="2" t="str">
        <x:v>S25</x:v>
      </x:c>
      <x:c r="D57" s="2" t="str">
        <x:v>merged_1185</x:v>
      </x:c>
    </x:row>
    <x:row r="58" ht="23" customHeight="1">
      <x:c r="A58" s="2" t="str">
        <x:v>Model family</x:v>
      </x:c>
      <x:c r="B58" s="6" t="str">
        <x:v>Gemini</x:v>
      </x:c>
      <x:c r="C58" s="2" t="str">
        <x:v>S34</x:v>
      </x:c>
      <x:c r="D58" s="2" t="str">
        <x:v>merged_1224</x:v>
      </x:c>
    </x:row>
    <x:row r="59" ht="23" customHeight="1">
      <x:c r="A59" s="2" t="str">
        <x:v>Model family</x:v>
      </x:c>
      <x:c r="B59" s="6" t="str">
        <x:v>Gemini</x:v>
      </x:c>
      <x:c r="C59" s="2" t="str">
        <x:v>S36</x:v>
      </x:c>
      <x:c r="D59" s="2" t="str">
        <x:v>merged_1236</x:v>
      </x:c>
    </x:row>
    <x:row r="60" ht="23" customHeight="1">
      <x:c r="A60" s="2" t="str">
        <x:v>Model family</x:v>
      </x:c>
      <x:c r="B60" s="6" t="str">
        <x:v>Gemini</x:v>
      </x:c>
      <x:c r="C60" s="2" t="str">
        <x:v>S38</x:v>
      </x:c>
      <x:c r="D60" s="2" t="str">
        <x:v>merged_1241</x:v>
      </x:c>
    </x:row>
    <x:row r="61" ht="23" customHeight="1">
      <x:c r="A61" s="2" t="str">
        <x:v>Model family</x:v>
      </x:c>
      <x:c r="B61" s="6" t="str">
        <x:v>Gemini</x:v>
      </x:c>
      <x:c r="C61" s="2" t="str">
        <x:v>S43</x:v>
      </x:c>
      <x:c r="D61" s="2" t="str">
        <x:v>merged_1270</x:v>
      </x:c>
    </x:row>
    <x:row r="62" ht="23" customHeight="1">
      <x:c r="A62" s="2" t="str">
        <x:v>Model family</x:v>
      </x:c>
      <x:c r="B62" s="6" t="str">
        <x:v>Gemini</x:v>
      </x:c>
      <x:c r="C62" s="2" t="str">
        <x:v>S46</x:v>
      </x:c>
      <x:c r="D62" s="2" t="str">
        <x:v>merged_1293</x:v>
      </x:c>
    </x:row>
    <x:row r="63" ht="23" customHeight="1">
      <x:c r="A63" s="2" t="str">
        <x:v>Model family</x:v>
      </x:c>
      <x:c r="B63" s="6" t="str">
        <x:v>Gemini</x:v>
      </x:c>
      <x:c r="C63" s="2" t="str">
        <x:v>S51</x:v>
      </x:c>
      <x:c r="D63" s="2" t="str">
        <x:v>snowball_00085</x:v>
      </x:c>
    </x:row>
    <x:row r="64" ht="23" customHeight="1">
      <x:c r="A64" s="2" t="str">
        <x:v>Model family</x:v>
      </x:c>
      <x:c r="B64" s="6" t="str">
        <x:v>Gemini</x:v>
      </x:c>
      <x:c r="C64" s="2" t="str">
        <x:v>S53</x:v>
      </x:c>
      <x:c r="D64" s="2" t="str">
        <x:v>merged_1229</x:v>
      </x:c>
    </x:row>
    <x:row r="65" ht="23" customHeight="1">
      <x:c r="A65" s="2" t="str">
        <x:v>Model family</x:v>
      </x:c>
      <x:c r="B65" s="6" t="str">
        <x:v>Gemma</x:v>
      </x:c>
      <x:c r="C65" s="2" t="str">
        <x:v>S10</x:v>
      </x:c>
      <x:c r="D65" s="2" t="str">
        <x:v>merged_1119</x:v>
      </x:c>
    </x:row>
    <x:row r="66" ht="23" customHeight="1">
      <x:c r="A66" s="2" t="str">
        <x:v>Model family</x:v>
      </x:c>
      <x:c r="B66" s="6" t="str">
        <x:v>Gemma</x:v>
      </x:c>
      <x:c r="C66" s="2" t="str">
        <x:v>S27</x:v>
      </x:c>
      <x:c r="D66" s="2" t="str">
        <x:v>merged_1213</x:v>
      </x:c>
    </x:row>
    <x:row r="67" ht="23" customHeight="1">
      <x:c r="A67" s="2" t="str">
        <x:v>Model family</x:v>
      </x:c>
      <x:c r="B67" s="6" t="str">
        <x:v>GitHub Copilot</x:v>
      </x:c>
      <x:c r="C67" s="2" t="str">
        <x:v>S46</x:v>
      </x:c>
      <x:c r="D67" s="2" t="str">
        <x:v>merged_1293</x:v>
      </x:c>
    </x:row>
    <x:row r="68" ht="23" customHeight="1">
      <x:c r="A68" s="2" t="str">
        <x:v>Model family</x:v>
      </x:c>
      <x:c r="B68" s="6" t="str">
        <x:v>Grok</x:v>
      </x:c>
      <x:c r="C68" s="2" t="str">
        <x:v>S34</x:v>
      </x:c>
      <x:c r="D68" s="2" t="str">
        <x:v>merged_1224</x:v>
      </x:c>
    </x:row>
    <x:row r="69" ht="23" customHeight="1">
      <x:c r="A69" s="2" t="str">
        <x:v>Model family</x:v>
      </x:c>
      <x:c r="B69" s="6" t="str">
        <x:v>Llama</x:v>
      </x:c>
      <x:c r="C69" s="2" t="str">
        <x:v>S02</x:v>
      </x:c>
      <x:c r="D69" s="2" t="str">
        <x:v>merged_0007</x:v>
      </x:c>
    </x:row>
    <x:row r="70" ht="23" customHeight="1">
      <x:c r="A70" s="2" t="str">
        <x:v>Model family</x:v>
      </x:c>
      <x:c r="B70" s="6" t="str">
        <x:v>Llama</x:v>
      </x:c>
      <x:c r="C70" s="2" t="str">
        <x:v>S07</x:v>
      </x:c>
      <x:c r="D70" s="2" t="str">
        <x:v>merged_0110</x:v>
      </x:c>
    </x:row>
    <x:row r="71" ht="23" customHeight="1">
      <x:c r="A71" s="2" t="str">
        <x:v>Model family</x:v>
      </x:c>
      <x:c r="B71" s="6" t="str">
        <x:v>Llama</x:v>
      </x:c>
      <x:c r="C71" s="2" t="str">
        <x:v>S10</x:v>
      </x:c>
      <x:c r="D71" s="2" t="str">
        <x:v>merged_1119</x:v>
      </x:c>
    </x:row>
    <x:row r="72" ht="23" customHeight="1">
      <x:c r="A72" s="2" t="str">
        <x:v>Model family</x:v>
      </x:c>
      <x:c r="B72" s="6" t="str">
        <x:v>Llama</x:v>
      </x:c>
      <x:c r="C72" s="2" t="str">
        <x:v>S12</x:v>
      </x:c>
      <x:c r="D72" s="2" t="str">
        <x:v>merged_1133</x:v>
      </x:c>
    </x:row>
    <x:row r="73" ht="23" customHeight="1">
      <x:c r="A73" s="2" t="str">
        <x:v>Model family</x:v>
      </x:c>
      <x:c r="B73" s="6" t="str">
        <x:v>Llama</x:v>
      </x:c>
      <x:c r="C73" s="2" t="str">
        <x:v>S19</x:v>
      </x:c>
      <x:c r="D73" s="2" t="str">
        <x:v>merged_1150</x:v>
      </x:c>
    </x:row>
    <x:row r="74" ht="23" customHeight="1">
      <x:c r="A74" s="2" t="str">
        <x:v>Model family</x:v>
      </x:c>
      <x:c r="B74" s="6" t="str">
        <x:v>Llama</x:v>
      </x:c>
      <x:c r="C74" s="2" t="str">
        <x:v>S23</x:v>
      </x:c>
      <x:c r="D74" s="2" t="str">
        <x:v>merged_1156</x:v>
      </x:c>
    </x:row>
    <x:row r="75" ht="23" customHeight="1">
      <x:c r="A75" s="2" t="str">
        <x:v>Model family</x:v>
      </x:c>
      <x:c r="B75" s="6" t="str">
        <x:v>Llama</x:v>
      </x:c>
      <x:c r="C75" s="2" t="str">
        <x:v>S28</x:v>
      </x:c>
      <x:c r="D75" s="2" t="str">
        <x:v>merged_1214</x:v>
      </x:c>
    </x:row>
    <x:row r="76" ht="23" customHeight="1">
      <x:c r="A76" s="2" t="str">
        <x:v>Model family</x:v>
      </x:c>
      <x:c r="B76" s="6" t="str">
        <x:v>Llama</x:v>
      </x:c>
      <x:c r="C76" s="2" t="str">
        <x:v>S30</x:v>
      </x:c>
      <x:c r="D76" s="2" t="str">
        <x:v>merged_1218</x:v>
      </x:c>
    </x:row>
    <x:row r="77" ht="23" customHeight="1">
      <x:c r="A77" s="2" t="str">
        <x:v>Model family</x:v>
      </x:c>
      <x:c r="B77" s="6" t="str">
        <x:v>Llama</x:v>
      </x:c>
      <x:c r="C77" s="2" t="str">
        <x:v>S31</x:v>
      </x:c>
      <x:c r="D77" s="2" t="str">
        <x:v>merged_1219</x:v>
      </x:c>
    </x:row>
    <x:row r="78" ht="23" customHeight="1">
      <x:c r="A78" s="2" t="str">
        <x:v>Model family</x:v>
      </x:c>
      <x:c r="B78" s="6" t="str">
        <x:v>Llama</x:v>
      </x:c>
      <x:c r="C78" s="2" t="str">
        <x:v>S33</x:v>
      </x:c>
      <x:c r="D78" s="2" t="str">
        <x:v>merged_1222</x:v>
      </x:c>
    </x:row>
    <x:row r="79" ht="23" customHeight="1">
      <x:c r="A79" s="2" t="str">
        <x:v>Model family</x:v>
      </x:c>
      <x:c r="B79" s="6" t="str">
        <x:v>Llama</x:v>
      </x:c>
      <x:c r="C79" s="2" t="str">
        <x:v>S34</x:v>
      </x:c>
      <x:c r="D79" s="2" t="str">
        <x:v>merged_1224</x:v>
      </x:c>
    </x:row>
    <x:row r="80" ht="23" customHeight="1">
      <x:c r="A80" s="2" t="str">
        <x:v>Model family</x:v>
      </x:c>
      <x:c r="B80" s="6" t="str">
        <x:v>Llama</x:v>
      </x:c>
      <x:c r="C80" s="2" t="str">
        <x:v>S42</x:v>
      </x:c>
      <x:c r="D80" s="2" t="str">
        <x:v>merged_1266</x:v>
      </x:c>
    </x:row>
    <x:row r="81" ht="23" customHeight="1">
      <x:c r="A81" s="2" t="str">
        <x:v>Model family</x:v>
      </x:c>
      <x:c r="B81" s="6" t="str">
        <x:v>Llama</x:v>
      </x:c>
      <x:c r="C81" s="2" t="str">
        <x:v>S43</x:v>
      </x:c>
      <x:c r="D81" s="2" t="str">
        <x:v>merged_1270</x:v>
      </x:c>
    </x:row>
    <x:row r="82" ht="23" customHeight="1">
      <x:c r="A82" s="2" t="str">
        <x:v>Model family</x:v>
      </x:c>
      <x:c r="B82" s="6" t="str">
        <x:v>Llama</x:v>
      </x:c>
      <x:c r="C82" s="2" t="str">
        <x:v>S46</x:v>
      </x:c>
      <x:c r="D82" s="2" t="str">
        <x:v>merged_1293</x:v>
      </x:c>
    </x:row>
    <x:row r="83" ht="23" customHeight="1">
      <x:c r="A83" s="2" t="str">
        <x:v>Model family</x:v>
      </x:c>
      <x:c r="B83" s="6" t="str">
        <x:v>Llama</x:v>
      </x:c>
      <x:c r="C83" s="2" t="str">
        <x:v>S48</x:v>
      </x:c>
      <x:c r="D83" s="2" t="str">
        <x:v>merged_1441</x:v>
      </x:c>
    </x:row>
    <x:row r="84" ht="23" customHeight="1">
      <x:c r="A84" s="2" t="str">
        <x:v>Model family</x:v>
      </x:c>
      <x:c r="B84" s="6" t="str">
        <x:v>Llama</x:v>
      </x:c>
      <x:c r="C84" s="2" t="str">
        <x:v>S50</x:v>
      </x:c>
      <x:c r="D84" s="2" t="str">
        <x:v>snowball_00068</x:v>
      </x:c>
    </x:row>
    <x:row r="85" ht="23" customHeight="1">
      <x:c r="A85" s="2" t="str">
        <x:v>Model family</x:v>
      </x:c>
      <x:c r="B85" s="6" t="str">
        <x:v>Mistral</x:v>
      </x:c>
      <x:c r="C85" s="2" t="str">
        <x:v>S07</x:v>
      </x:c>
      <x:c r="D85" s="2" t="str">
        <x:v>merged_0110</x:v>
      </x:c>
    </x:row>
    <x:row r="86" ht="23" customHeight="1">
      <x:c r="A86" s="2" t="str">
        <x:v>Model family</x:v>
      </x:c>
      <x:c r="B86" s="6" t="str">
        <x:v>Mistral</x:v>
      </x:c>
      <x:c r="C86" s="2" t="str">
        <x:v>S25</x:v>
      </x:c>
      <x:c r="D86" s="2" t="str">
        <x:v>merged_1185</x:v>
      </x:c>
    </x:row>
    <x:row r="87" ht="23" customHeight="1">
      <x:c r="A87" s="2" t="str">
        <x:v>Model family</x:v>
      </x:c>
      <x:c r="B87" s="6" t="str">
        <x:v>Mistral</x:v>
      </x:c>
      <x:c r="C87" s="2" t="str">
        <x:v>S27</x:v>
      </x:c>
      <x:c r="D87" s="2" t="str">
        <x:v>merged_1213</x:v>
      </x:c>
    </x:row>
    <x:row r="88" ht="23" customHeight="1">
      <x:c r="A88" s="2" t="str">
        <x:v>Model family</x:v>
      </x:c>
      <x:c r="B88" s="6" t="str">
        <x:v>Mistral</x:v>
      </x:c>
      <x:c r="C88" s="2" t="str">
        <x:v>S34</x:v>
      </x:c>
      <x:c r="D88" s="2" t="str">
        <x:v>merged_1224</x:v>
      </x:c>
    </x:row>
    <x:row r="89" ht="23" customHeight="1">
      <x:c r="A89" s="2" t="str">
        <x:v>Model family</x:v>
      </x:c>
      <x:c r="B89" s="6" t="str">
        <x:v>OpenAI o-series</x:v>
      </x:c>
      <x:c r="C89" s="2" t="str">
        <x:v>S05</x:v>
      </x:c>
      <x:c r="D89" s="2" t="str">
        <x:v>merged_0077</x:v>
      </x:c>
    </x:row>
    <x:row r="90" ht="23" customHeight="1">
      <x:c r="A90" s="2" t="str">
        <x:v>Model family</x:v>
      </x:c>
      <x:c r="B90" s="6" t="str">
        <x:v>OpenAI o-series</x:v>
      </x:c>
      <x:c r="C90" s="2" t="str">
        <x:v>S34</x:v>
      </x:c>
      <x:c r="D90" s="2" t="str">
        <x:v>merged_1224</x:v>
      </x:c>
    </x:row>
    <x:row r="91" ht="23" customHeight="1">
      <x:c r="A91" s="2" t="str">
        <x:v>Model family</x:v>
      </x:c>
      <x:c r="B91" s="6" t="str">
        <x:v>Phi</x:v>
      </x:c>
      <x:c r="C91" s="2" t="str">
        <x:v>S27</x:v>
      </x:c>
      <x:c r="D91" s="2" t="str">
        <x:v>merged_1213</x:v>
      </x:c>
    </x:row>
    <x:row r="92" ht="23" customHeight="1">
      <x:c r="A92" s="2" t="str">
        <x:v>Model family</x:v>
      </x:c>
      <x:c r="B92" s="6" t="str">
        <x:v>Qwen</x:v>
      </x:c>
      <x:c r="C92" s="2" t="str">
        <x:v>S10</x:v>
      </x:c>
      <x:c r="D92" s="2" t="str">
        <x:v>merged_1119</x:v>
      </x:c>
    </x:row>
    <x:row r="93" ht="23" customHeight="1">
      <x:c r="A93" s="2" t="str">
        <x:v>Model family</x:v>
      </x:c>
      <x:c r="B93" s="6" t="str">
        <x:v>Qwen</x:v>
      </x:c>
      <x:c r="C93" s="2" t="str">
        <x:v>S34</x:v>
      </x:c>
      <x:c r="D93" s="2" t="str">
        <x:v>merged_1224</x:v>
      </x:c>
    </x:row>
    <x:row r="94" ht="23" customHeight="1">
      <x:c r="A94" s="2" t="str">
        <x:v>Model family</x:v>
      </x:c>
      <x:c r="B94" s="6" t="str">
        <x:v>Qwen</x:v>
      </x:c>
      <x:c r="C94" s="2" t="str">
        <x:v>S38</x:v>
      </x:c>
      <x:c r="D94" s="2" t="str">
        <x:v>merged_1241</x:v>
      </x:c>
    </x:row>
    <x:row r="95" ht="23" customHeight="1">
      <x:c r="A95" s="2" t="str">
        <x:v>Model family</x:v>
      </x:c>
      <x:c r="B95" s="6" t="str">
        <x:v>Qwen</x:v>
      </x:c>
      <x:c r="C95" s="2" t="str">
        <x:v>S47</x:v>
      </x:c>
      <x:c r="D95" s="2" t="str">
        <x:v>merged_1302</x:v>
      </x:c>
    </x:row>
    <x:row r="96" ht="23" customHeight="1">
      <x:c r="A96" s="2" t="str">
        <x:v>Model family</x:v>
      </x:c>
      <x:c r="B96" s="6" t="str">
        <x:v>WizardCoder</x:v>
      </x:c>
      <x:c r="C96" s="2" t="str">
        <x:v>S23</x:v>
      </x:c>
      <x:c r="D96" s="2" t="str">
        <x:v>merged_1156</x:v>
      </x:c>
    </x:row>
    <x:row r="97" ht="23" customHeight="1">
      <x:c r="A97" s="2" t="str">
        <x:v>Access group</x:v>
      </x:c>
      <x:c r="B97" s="6" t="str">
        <x:v>Closed</x:v>
      </x:c>
      <x:c r="C97" s="2" t="str">
        <x:v>G1</x:v>
      </x:c>
      <x:c r="D97" s="2" t="str">
        <x:v>G1</x:v>
      </x:c>
    </x:row>
    <x:row r="98" ht="23" customHeight="1">
      <x:c r="A98" s="2" t="str">
        <x:v>Access group</x:v>
      </x:c>
      <x:c r="B98" s="6" t="str">
        <x:v>Closed</x:v>
      </x:c>
      <x:c r="C98" s="2" t="str">
        <x:v>G8</x:v>
      </x:c>
      <x:c r="D98" s="2" t="str">
        <x:v>G8</x:v>
      </x:c>
    </x:row>
    <x:row r="99" ht="23" customHeight="1">
      <x:c r="A99" s="2" t="str">
        <x:v>Access group</x:v>
      </x:c>
      <x:c r="B99" s="6" t="str">
        <x:v>Closed</x:v>
      </x:c>
      <x:c r="C99" s="2" t="str">
        <x:v>S01</x:v>
      </x:c>
      <x:c r="D99" s="2" t="str">
        <x:v>merged_0002</x:v>
      </x:c>
    </x:row>
    <x:row r="100" ht="23" customHeight="1">
      <x:c r="A100" s="2" t="str">
        <x:v>Access group</x:v>
      </x:c>
      <x:c r="B100" s="6" t="str">
        <x:v>Closed</x:v>
      </x:c>
      <x:c r="C100" s="2" t="str">
        <x:v>S02</x:v>
      </x:c>
      <x:c r="D100" s="2" t="str">
        <x:v>merged_0007</x:v>
      </x:c>
    </x:row>
    <x:row r="101" ht="23" customHeight="1">
      <x:c r="A101" s="2" t="str">
        <x:v>Access group</x:v>
      </x:c>
      <x:c r="B101" s="6" t="str">
        <x:v>Closed</x:v>
      </x:c>
      <x:c r="C101" s="2" t="str">
        <x:v>S03</x:v>
      </x:c>
      <x:c r="D101" s="2" t="str">
        <x:v>merged_0014</x:v>
      </x:c>
    </x:row>
    <x:row r="102" ht="23" customHeight="1">
      <x:c r="A102" s="2" t="str">
        <x:v>Access group</x:v>
      </x:c>
      <x:c r="B102" s="6" t="str">
        <x:v>Closed</x:v>
      </x:c>
      <x:c r="C102" s="2" t="str">
        <x:v>S04</x:v>
      </x:c>
      <x:c r="D102" s="2" t="str">
        <x:v>merged_0075</x:v>
      </x:c>
    </x:row>
    <x:row r="103" ht="23" customHeight="1">
      <x:c r="A103" s="2" t="str">
        <x:v>Access group</x:v>
      </x:c>
      <x:c r="B103" s="6" t="str">
        <x:v>Closed</x:v>
      </x:c>
      <x:c r="C103" s="2" t="str">
        <x:v>S05</x:v>
      </x:c>
      <x:c r="D103" s="2" t="str">
        <x:v>merged_0077</x:v>
      </x:c>
    </x:row>
    <x:row r="104" ht="23" customHeight="1">
      <x:c r="A104" s="2" t="str">
        <x:v>Access group</x:v>
      </x:c>
      <x:c r="B104" s="6" t="str">
        <x:v>Closed</x:v>
      </x:c>
      <x:c r="C104" s="2" t="str">
        <x:v>S06</x:v>
      </x:c>
      <x:c r="D104" s="2" t="str">
        <x:v>merged_0079</x:v>
      </x:c>
    </x:row>
    <x:row r="105" ht="23" customHeight="1">
      <x:c r="A105" s="2" t="str">
        <x:v>Access group</x:v>
      </x:c>
      <x:c r="B105" s="6" t="str">
        <x:v>Closed</x:v>
      </x:c>
      <x:c r="C105" s="2" t="str">
        <x:v>S07</x:v>
      </x:c>
      <x:c r="D105" s="2" t="str">
        <x:v>merged_0110</x:v>
      </x:c>
    </x:row>
    <x:row r="106" ht="23" customHeight="1">
      <x:c r="A106" s="2" t="str">
        <x:v>Access group</x:v>
      </x:c>
      <x:c r="B106" s="6" t="str">
        <x:v>Closed</x:v>
      </x:c>
      <x:c r="C106" s="2" t="str">
        <x:v>S08</x:v>
      </x:c>
      <x:c r="D106" s="2" t="str">
        <x:v>merged_0256</x:v>
      </x:c>
    </x:row>
    <x:row r="107" ht="23" customHeight="1">
      <x:c r="A107" s="2" t="str">
        <x:v>Access group</x:v>
      </x:c>
      <x:c r="B107" s="6" t="str">
        <x:v>Closed</x:v>
      </x:c>
      <x:c r="C107" s="2" t="str">
        <x:v>S10</x:v>
      </x:c>
      <x:c r="D107" s="2" t="str">
        <x:v>merged_1119</x:v>
      </x:c>
    </x:row>
    <x:row r="108" ht="23" customHeight="1">
      <x:c r="A108" s="2" t="str">
        <x:v>Access group</x:v>
      </x:c>
      <x:c r="B108" s="6" t="str">
        <x:v>Closed</x:v>
      </x:c>
      <x:c r="C108" s="2" t="str">
        <x:v>S12</x:v>
      </x:c>
      <x:c r="D108" s="2" t="str">
        <x:v>merged_1133</x:v>
      </x:c>
    </x:row>
    <x:row r="109" ht="23" customHeight="1">
      <x:c r="A109" s="2" t="str">
        <x:v>Access group</x:v>
      </x:c>
      <x:c r="B109" s="6" t="str">
        <x:v>Closed</x:v>
      </x:c>
      <x:c r="C109" s="2" t="str">
        <x:v>S13</x:v>
      </x:c>
      <x:c r="D109" s="2" t="str">
        <x:v>merged_1140</x:v>
      </x:c>
    </x:row>
    <x:row r="110" ht="23" customHeight="1">
      <x:c r="A110" s="2" t="str">
        <x:v>Access group</x:v>
      </x:c>
      <x:c r="B110" s="6" t="str">
        <x:v>Closed</x:v>
      </x:c>
      <x:c r="C110" s="2" t="str">
        <x:v>S14</x:v>
      </x:c>
      <x:c r="D110" s="2" t="str">
        <x:v>merged_1142</x:v>
      </x:c>
    </x:row>
    <x:row r="111" ht="23" customHeight="1">
      <x:c r="A111" s="2" t="str">
        <x:v>Access group</x:v>
      </x:c>
      <x:c r="B111" s="6" t="str">
        <x:v>Closed</x:v>
      </x:c>
      <x:c r="C111" s="2" t="str">
        <x:v>S15</x:v>
      </x:c>
      <x:c r="D111" s="2" t="str">
        <x:v>merged_1143</x:v>
      </x:c>
    </x:row>
    <x:row r="112" ht="23" customHeight="1">
      <x:c r="A112" s="2" t="str">
        <x:v>Access group</x:v>
      </x:c>
      <x:c r="B112" s="6" t="str">
        <x:v>Closed</x:v>
      </x:c>
      <x:c r="C112" s="2" t="str">
        <x:v>S16</x:v>
      </x:c>
      <x:c r="D112" s="2" t="str">
        <x:v>merged_1144</x:v>
      </x:c>
    </x:row>
    <x:row r="113" ht="23" customHeight="1">
      <x:c r="A113" s="2" t="str">
        <x:v>Access group</x:v>
      </x:c>
      <x:c r="B113" s="6" t="str">
        <x:v>Closed</x:v>
      </x:c>
      <x:c r="C113" s="2" t="str">
        <x:v>S17</x:v>
      </x:c>
      <x:c r="D113" s="2" t="str">
        <x:v>merged_1148</x:v>
      </x:c>
    </x:row>
    <x:row r="114" ht="23" customHeight="1">
      <x:c r="A114" s="2" t="str">
        <x:v>Access group</x:v>
      </x:c>
      <x:c r="B114" s="6" t="str">
        <x:v>Closed</x:v>
      </x:c>
      <x:c r="C114" s="2" t="str">
        <x:v>S18</x:v>
      </x:c>
      <x:c r="D114" s="2" t="str">
        <x:v>merged_1149</x:v>
      </x:c>
    </x:row>
    <x:row r="115" ht="23" customHeight="1">
      <x:c r="A115" s="2" t="str">
        <x:v>Access group</x:v>
      </x:c>
      <x:c r="B115" s="6" t="str">
        <x:v>Closed</x:v>
      </x:c>
      <x:c r="C115" s="2" t="str">
        <x:v>S19</x:v>
      </x:c>
      <x:c r="D115" s="2" t="str">
        <x:v>merged_1150</x:v>
      </x:c>
    </x:row>
    <x:row r="116" ht="23" customHeight="1">
      <x:c r="A116" s="2" t="str">
        <x:v>Access group</x:v>
      </x:c>
      <x:c r="B116" s="6" t="str">
        <x:v>Closed</x:v>
      </x:c>
      <x:c r="C116" s="2" t="str">
        <x:v>S20</x:v>
      </x:c>
      <x:c r="D116" s="2" t="str">
        <x:v>merged_1151</x:v>
      </x:c>
    </x:row>
    <x:row r="117" ht="23" customHeight="1">
      <x:c r="A117" s="2" t="str">
        <x:v>Access group</x:v>
      </x:c>
      <x:c r="B117" s="6" t="str">
        <x:v>Closed</x:v>
      </x:c>
      <x:c r="C117" s="2" t="str">
        <x:v>S21</x:v>
      </x:c>
      <x:c r="D117" s="2" t="str">
        <x:v>merged_1152</x:v>
      </x:c>
    </x:row>
    <x:row r="118" ht="23" customHeight="1">
      <x:c r="A118" s="2" t="str">
        <x:v>Access group</x:v>
      </x:c>
      <x:c r="B118" s="6" t="str">
        <x:v>Closed</x:v>
      </x:c>
      <x:c r="C118" s="2" t="str">
        <x:v>S25</x:v>
      </x:c>
      <x:c r="D118" s="2" t="str">
        <x:v>merged_1185</x:v>
      </x:c>
    </x:row>
    <x:row r="119" ht="23" customHeight="1">
      <x:c r="A119" s="2" t="str">
        <x:v>Access group</x:v>
      </x:c>
      <x:c r="B119" s="6" t="str">
        <x:v>Closed</x:v>
      </x:c>
      <x:c r="C119" s="2" t="str">
        <x:v>S27</x:v>
      </x:c>
      <x:c r="D119" s="2" t="str">
        <x:v>merged_1213</x:v>
      </x:c>
    </x:row>
    <x:row r="120" ht="23" customHeight="1">
      <x:c r="A120" s="2" t="str">
        <x:v>Access group</x:v>
      </x:c>
      <x:c r="B120" s="6" t="str">
        <x:v>Closed</x:v>
      </x:c>
      <x:c r="C120" s="2" t="str">
        <x:v>S29</x:v>
      </x:c>
      <x:c r="D120" s="2" t="str">
        <x:v>merged_1215</x:v>
      </x:c>
    </x:row>
    <x:row r="121" ht="23" customHeight="1">
      <x:c r="A121" s="2" t="str">
        <x:v>Access group</x:v>
      </x:c>
      <x:c r="B121" s="6" t="str">
        <x:v>Closed</x:v>
      </x:c>
      <x:c r="C121" s="2" t="str">
        <x:v>S31</x:v>
      </x:c>
      <x:c r="D121" s="2" t="str">
        <x:v>merged_1219</x:v>
      </x:c>
    </x:row>
    <x:row r="122" ht="23" customHeight="1">
      <x:c r="A122" s="2" t="str">
        <x:v>Access group</x:v>
      </x:c>
      <x:c r="B122" s="6" t="str">
        <x:v>Closed</x:v>
      </x:c>
      <x:c r="C122" s="2" t="str">
        <x:v>S34</x:v>
      </x:c>
      <x:c r="D122" s="2" t="str">
        <x:v>merged_1224</x:v>
      </x:c>
    </x:row>
    <x:row r="123" ht="23" customHeight="1">
      <x:c r="A123" s="2" t="str">
        <x:v>Access group</x:v>
      </x:c>
      <x:c r="B123" s="6" t="str">
        <x:v>Closed</x:v>
      </x:c>
      <x:c r="C123" s="2" t="str">
        <x:v>S35</x:v>
      </x:c>
      <x:c r="D123" s="2" t="str">
        <x:v>merged_1225</x:v>
      </x:c>
    </x:row>
    <x:row r="124" ht="23" customHeight="1">
      <x:c r="A124" s="2" t="str">
        <x:v>Access group</x:v>
      </x:c>
      <x:c r="B124" s="6" t="str">
        <x:v>Closed</x:v>
      </x:c>
      <x:c r="C124" s="2" t="str">
        <x:v>S36</x:v>
      </x:c>
      <x:c r="D124" s="2" t="str">
        <x:v>merged_1236</x:v>
      </x:c>
    </x:row>
    <x:row r="125" ht="23" customHeight="1">
      <x:c r="A125" s="2" t="str">
        <x:v>Access group</x:v>
      </x:c>
      <x:c r="B125" s="6" t="str">
        <x:v>Closed</x:v>
      </x:c>
      <x:c r="C125" s="2" t="str">
        <x:v>S38</x:v>
      </x:c>
      <x:c r="D125" s="2" t="str">
        <x:v>merged_1241</x:v>
      </x:c>
    </x:row>
    <x:row r="126" ht="23" customHeight="1">
      <x:c r="A126" s="2" t="str">
        <x:v>Access group</x:v>
      </x:c>
      <x:c r="B126" s="6" t="str">
        <x:v>Closed</x:v>
      </x:c>
      <x:c r="C126" s="2" t="str">
        <x:v>S39</x:v>
      </x:c>
      <x:c r="D126" s="2" t="str">
        <x:v>merged_1245</x:v>
      </x:c>
    </x:row>
    <x:row r="127" ht="23" customHeight="1">
      <x:c r="A127" s="2" t="str">
        <x:v>Access group</x:v>
      </x:c>
      <x:c r="B127" s="6" t="str">
        <x:v>Closed</x:v>
      </x:c>
      <x:c r="C127" s="2" t="str">
        <x:v>S40</x:v>
      </x:c>
      <x:c r="D127" s="2" t="str">
        <x:v>merged_1263</x:v>
      </x:c>
    </x:row>
    <x:row r="128" ht="23" customHeight="1">
      <x:c r="A128" s="2" t="str">
        <x:v>Access group</x:v>
      </x:c>
      <x:c r="B128" s="6" t="str">
        <x:v>Closed</x:v>
      </x:c>
      <x:c r="C128" s="2" t="str">
        <x:v>S41</x:v>
      </x:c>
      <x:c r="D128" s="2" t="str">
        <x:v>merged_1264</x:v>
      </x:c>
    </x:row>
    <x:row r="129" ht="23" customHeight="1">
      <x:c r="A129" s="2" t="str">
        <x:v>Access group</x:v>
      </x:c>
      <x:c r="B129" s="6" t="str">
        <x:v>Closed</x:v>
      </x:c>
      <x:c r="C129" s="2" t="str">
        <x:v>S42</x:v>
      </x:c>
      <x:c r="D129" s="2" t="str">
        <x:v>merged_1266</x:v>
      </x:c>
    </x:row>
    <x:row r="130" ht="23" customHeight="1">
      <x:c r="A130" s="2" t="str">
        <x:v>Access group</x:v>
      </x:c>
      <x:c r="B130" s="6" t="str">
        <x:v>Closed</x:v>
      </x:c>
      <x:c r="C130" s="2" t="str">
        <x:v>S43</x:v>
      </x:c>
      <x:c r="D130" s="2" t="str">
        <x:v>merged_1270</x:v>
      </x:c>
    </x:row>
    <x:row r="131" ht="23" customHeight="1">
      <x:c r="A131" s="2" t="str">
        <x:v>Access group</x:v>
      </x:c>
      <x:c r="B131" s="6" t="str">
        <x:v>Closed</x:v>
      </x:c>
      <x:c r="C131" s="2" t="str">
        <x:v>S44</x:v>
      </x:c>
      <x:c r="D131" s="2" t="str">
        <x:v>merged_1274</x:v>
      </x:c>
    </x:row>
    <x:row r="132" ht="23" customHeight="1">
      <x:c r="A132" s="2" t="str">
        <x:v>Access group</x:v>
      </x:c>
      <x:c r="B132" s="6" t="str">
        <x:v>Closed</x:v>
      </x:c>
      <x:c r="C132" s="2" t="str">
        <x:v>S45</x:v>
      </x:c>
      <x:c r="D132" s="2" t="str">
        <x:v>merged_1275</x:v>
      </x:c>
    </x:row>
    <x:row r="133" ht="23" customHeight="1">
      <x:c r="A133" s="2" t="str">
        <x:v>Access group</x:v>
      </x:c>
      <x:c r="B133" s="6" t="str">
        <x:v>Closed</x:v>
      </x:c>
      <x:c r="C133" s="2" t="str">
        <x:v>S46</x:v>
      </x:c>
      <x:c r="D133" s="2" t="str">
        <x:v>merged_1293</x:v>
      </x:c>
    </x:row>
    <x:row r="134" ht="23" customHeight="1">
      <x:c r="A134" s="2" t="str">
        <x:v>Access group</x:v>
      </x:c>
      <x:c r="B134" s="6" t="str">
        <x:v>Closed</x:v>
      </x:c>
      <x:c r="C134" s="2" t="str">
        <x:v>S48</x:v>
      </x:c>
      <x:c r="D134" s="2" t="str">
        <x:v>merged_1441</x:v>
      </x:c>
    </x:row>
    <x:row r="135" ht="23" customHeight="1">
      <x:c r="A135" s="2" t="str">
        <x:v>Access group</x:v>
      </x:c>
      <x:c r="B135" s="6" t="str">
        <x:v>Closed</x:v>
      </x:c>
      <x:c r="C135" s="2" t="str">
        <x:v>S49</x:v>
      </x:c>
      <x:c r="D135" s="2" t="str">
        <x:v>merged_1486</x:v>
      </x:c>
    </x:row>
    <x:row r="136" ht="23" customHeight="1">
      <x:c r="A136" s="2" t="str">
        <x:v>Access group</x:v>
      </x:c>
      <x:c r="B136" s="6" t="str">
        <x:v>Closed</x:v>
      </x:c>
      <x:c r="C136" s="2" t="str">
        <x:v>S51</x:v>
      </x:c>
      <x:c r="D136" s="2" t="str">
        <x:v>snowball_00085</x:v>
      </x:c>
    </x:row>
    <x:row r="137" ht="23" customHeight="1">
      <x:c r="A137" s="2" t="str">
        <x:v>Access group</x:v>
      </x:c>
      <x:c r="B137" s="6" t="str">
        <x:v>Closed</x:v>
      </x:c>
      <x:c r="C137" s="2" t="str">
        <x:v>S52</x:v>
      </x:c>
      <x:c r="D137" s="2" t="str">
        <x:v>snowball_00095</x:v>
      </x:c>
    </x:row>
    <x:row r="138" ht="23" customHeight="1">
      <x:c r="A138" s="2" t="str">
        <x:v>Access group</x:v>
      </x:c>
      <x:c r="B138" s="6" t="str">
        <x:v>Closed</x:v>
      </x:c>
      <x:c r="C138" s="2" t="str">
        <x:v>S53</x:v>
      </x:c>
      <x:c r="D138" s="2" t="str">
        <x:v>merged_1229</x:v>
      </x:c>
    </x:row>
    <x:row r="139" ht="23" customHeight="1">
      <x:c r="A139" s="2" t="str">
        <x:v>Access group</x:v>
      </x:c>
      <x:c r="B139" s="6" t="str">
        <x:v>Open weights</x:v>
      </x:c>
      <x:c r="C139" s="2" t="str">
        <x:v>S02</x:v>
      </x:c>
      <x:c r="D139" s="2" t="str">
        <x:v>merged_0007</x:v>
      </x:c>
    </x:row>
    <x:row r="140" ht="23" customHeight="1">
      <x:c r="A140" s="2" t="str">
        <x:v>Access group</x:v>
      </x:c>
      <x:c r="B140" s="6" t="str">
        <x:v>Open weights</x:v>
      </x:c>
      <x:c r="C140" s="2" t="str">
        <x:v>S07</x:v>
      </x:c>
      <x:c r="D140" s="2" t="str">
        <x:v>merged_0110</x:v>
      </x:c>
    </x:row>
    <x:row r="141" ht="23" customHeight="1">
      <x:c r="A141" s="2" t="str">
        <x:v>Access group</x:v>
      </x:c>
      <x:c r="B141" s="6" t="str">
        <x:v>Open weights</x:v>
      </x:c>
      <x:c r="C141" s="2" t="str">
        <x:v>S10</x:v>
      </x:c>
      <x:c r="D141" s="2" t="str">
        <x:v>merged_1119</x:v>
      </x:c>
    </x:row>
    <x:row r="142" ht="23" customHeight="1">
      <x:c r="A142" s="2" t="str">
        <x:v>Access group</x:v>
      </x:c>
      <x:c r="B142" s="6" t="str">
        <x:v>Open weights</x:v>
      </x:c>
      <x:c r="C142" s="2" t="str">
        <x:v>S11</x:v>
      </x:c>
      <x:c r="D142" s="2" t="str">
        <x:v>merged_1121</x:v>
      </x:c>
    </x:row>
    <x:row r="143" ht="23" customHeight="1">
      <x:c r="A143" s="2" t="str">
        <x:v>Access group</x:v>
      </x:c>
      <x:c r="B143" s="6" t="str">
        <x:v>Open weights</x:v>
      </x:c>
      <x:c r="C143" s="2" t="str">
        <x:v>S12</x:v>
      </x:c>
      <x:c r="D143" s="2" t="str">
        <x:v>merged_1133</x:v>
      </x:c>
    </x:row>
    <x:row r="144" ht="23" customHeight="1">
      <x:c r="A144" s="2" t="str">
        <x:v>Access group</x:v>
      </x:c>
      <x:c r="B144" s="6" t="str">
        <x:v>Open weights</x:v>
      </x:c>
      <x:c r="C144" s="2" t="str">
        <x:v>S19</x:v>
      </x:c>
      <x:c r="D144" s="2" t="str">
        <x:v>merged_1150</x:v>
      </x:c>
    </x:row>
    <x:row r="145" ht="23" customHeight="1">
      <x:c r="A145" s="2" t="str">
        <x:v>Access group</x:v>
      </x:c>
      <x:c r="B145" s="6" t="str">
        <x:v>Open weights</x:v>
      </x:c>
      <x:c r="C145" s="2" t="str">
        <x:v>S23</x:v>
      </x:c>
      <x:c r="D145" s="2" t="str">
        <x:v>merged_1156</x:v>
      </x:c>
    </x:row>
    <x:row r="146" ht="23" customHeight="1">
      <x:c r="A146" s="2" t="str">
        <x:v>Access group</x:v>
      </x:c>
      <x:c r="B146" s="6" t="str">
        <x:v>Open weights</x:v>
      </x:c>
      <x:c r="C146" s="2" t="str">
        <x:v>S25</x:v>
      </x:c>
      <x:c r="D146" s="2" t="str">
        <x:v>merged_1185</x:v>
      </x:c>
    </x:row>
    <x:row r="147" ht="23" customHeight="1">
      <x:c r="A147" s="2" t="str">
        <x:v>Access group</x:v>
      </x:c>
      <x:c r="B147" s="6" t="str">
        <x:v>Open weights</x:v>
      </x:c>
      <x:c r="C147" s="2" t="str">
        <x:v>S27</x:v>
      </x:c>
      <x:c r="D147" s="2" t="str">
        <x:v>merged_1213</x:v>
      </x:c>
    </x:row>
    <x:row r="148" ht="23" customHeight="1">
      <x:c r="A148" s="2" t="str">
        <x:v>Access group</x:v>
      </x:c>
      <x:c r="B148" s="6" t="str">
        <x:v>Open weights</x:v>
      </x:c>
      <x:c r="C148" s="2" t="str">
        <x:v>S28</x:v>
      </x:c>
      <x:c r="D148" s="2" t="str">
        <x:v>merged_1214</x:v>
      </x:c>
    </x:row>
    <x:row r="149" ht="23" customHeight="1">
      <x:c r="A149" s="2" t="str">
        <x:v>Access group</x:v>
      </x:c>
      <x:c r="B149" s="6" t="str">
        <x:v>Open weights</x:v>
      </x:c>
      <x:c r="C149" s="2" t="str">
        <x:v>S30</x:v>
      </x:c>
      <x:c r="D149" s="2" t="str">
        <x:v>merged_1218</x:v>
      </x:c>
    </x:row>
    <x:row r="150" ht="23" customHeight="1">
      <x:c r="A150" s="2" t="str">
        <x:v>Access group</x:v>
      </x:c>
      <x:c r="B150" s="6" t="str">
        <x:v>Open weights</x:v>
      </x:c>
      <x:c r="C150" s="2" t="str">
        <x:v>S31</x:v>
      </x:c>
      <x:c r="D150" s="2" t="str">
        <x:v>merged_1219</x:v>
      </x:c>
    </x:row>
    <x:row r="151" ht="23" customHeight="1">
      <x:c r="A151" s="2" t="str">
        <x:v>Access group</x:v>
      </x:c>
      <x:c r="B151" s="6" t="str">
        <x:v>Open weights</x:v>
      </x:c>
      <x:c r="C151" s="2" t="str">
        <x:v>S33</x:v>
      </x:c>
      <x:c r="D151" s="2" t="str">
        <x:v>merged_1222</x:v>
      </x:c>
    </x:row>
    <x:row r="152" ht="23" customHeight="1">
      <x:c r="A152" s="2" t="str">
        <x:v>Access group</x:v>
      </x:c>
      <x:c r="B152" s="6" t="str">
        <x:v>Open weights</x:v>
      </x:c>
      <x:c r="C152" s="2" t="str">
        <x:v>S34</x:v>
      </x:c>
      <x:c r="D152" s="2" t="str">
        <x:v>merged_1224</x:v>
      </x:c>
    </x:row>
    <x:row r="153" ht="23" customHeight="1">
      <x:c r="A153" s="2" t="str">
        <x:v>Access group</x:v>
      </x:c>
      <x:c r="B153" s="6" t="str">
        <x:v>Open weights</x:v>
      </x:c>
      <x:c r="C153" s="2" t="str">
        <x:v>S37</x:v>
      </x:c>
      <x:c r="D153" s="2" t="str">
        <x:v>merged_1238</x:v>
      </x:c>
    </x:row>
    <x:row r="154" ht="23" customHeight="1">
      <x:c r="A154" s="2" t="str">
        <x:v>Access group</x:v>
      </x:c>
      <x:c r="B154" s="6" t="str">
        <x:v>Open weights</x:v>
      </x:c>
      <x:c r="C154" s="2" t="str">
        <x:v>S38</x:v>
      </x:c>
      <x:c r="D154" s="2" t="str">
        <x:v>merged_1241</x:v>
      </x:c>
    </x:row>
    <x:row r="155" ht="23" customHeight="1">
      <x:c r="A155" s="2" t="str">
        <x:v>Access group</x:v>
      </x:c>
      <x:c r="B155" s="6" t="str">
        <x:v>Open weights</x:v>
      </x:c>
      <x:c r="C155" s="2" t="str">
        <x:v>S41</x:v>
      </x:c>
      <x:c r="D155" s="2" t="str">
        <x:v>merged_1264</x:v>
      </x:c>
    </x:row>
    <x:row r="156" ht="23" customHeight="1">
      <x:c r="A156" s="2" t="str">
        <x:v>Access group</x:v>
      </x:c>
      <x:c r="B156" s="6" t="str">
        <x:v>Open weights</x:v>
      </x:c>
      <x:c r="C156" s="2" t="str">
        <x:v>S42</x:v>
      </x:c>
      <x:c r="D156" s="2" t="str">
        <x:v>merged_1266</x:v>
      </x:c>
    </x:row>
    <x:row r="157" ht="23" customHeight="1">
      <x:c r="A157" s="2" t="str">
        <x:v>Access group</x:v>
      </x:c>
      <x:c r="B157" s="6" t="str">
        <x:v>Open weights</x:v>
      </x:c>
      <x:c r="C157" s="2" t="str">
        <x:v>S43</x:v>
      </x:c>
      <x:c r="D157" s="2" t="str">
        <x:v>merged_1270</x:v>
      </x:c>
    </x:row>
    <x:row r="158" ht="23" customHeight="1">
      <x:c r="A158" s="2" t="str">
        <x:v>Access group</x:v>
      </x:c>
      <x:c r="B158" s="6" t="str">
        <x:v>Open weights</x:v>
      </x:c>
      <x:c r="C158" s="2" t="str">
        <x:v>S46</x:v>
      </x:c>
      <x:c r="D158" s="2" t="str">
        <x:v>merged_1293</x:v>
      </x:c>
    </x:row>
    <x:row r="159" ht="23" customHeight="1">
      <x:c r="A159" s="2" t="str">
        <x:v>Access group</x:v>
      </x:c>
      <x:c r="B159" s="6" t="str">
        <x:v>Open weights</x:v>
      </x:c>
      <x:c r="C159" s="2" t="str">
        <x:v>S47</x:v>
      </x:c>
      <x:c r="D159" s="2" t="str">
        <x:v>merged_1302</x:v>
      </x:c>
    </x:row>
    <x:row r="160" ht="23" customHeight="1">
      <x:c r="A160" s="2" t="str">
        <x:v>Access group</x:v>
      </x:c>
      <x:c r="B160" s="6" t="str">
        <x:v>Open weights</x:v>
      </x:c>
      <x:c r="C160" s="2" t="str">
        <x:v>S48</x:v>
      </x:c>
      <x:c r="D160" s="2" t="str">
        <x:v>merged_1441</x:v>
      </x:c>
    </x:row>
    <x:row r="161" ht="23" customHeight="1">
      <x:c r="A161" s="2" t="str">
        <x:v>Access group</x:v>
      </x:c>
      <x:c r="B161" s="6" t="str">
        <x:v>Open weights</x:v>
      </x:c>
      <x:c r="C161" s="2" t="str">
        <x:v>S50</x:v>
      </x:c>
      <x:c r="D161" s="2" t="str">
        <x:v>snowball_00068</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2" hidden="0" customWidth="1"/>
    <x:col min="2" max="2" width="20" hidden="0" customWidth="1"/>
    <x:col min="3" max="3" width="52" hidden="0" customWidth="1"/>
    <x:col min="4" max="4" width="20" hidden="0" customWidth="1"/>
  </x:cols>
  <x:sheetData>
    <x:row r="1" ht="38" customHeight="1">
      <x:c r="A1" s="5" t="str">
        <x:v>Rule ID</x:v>
      </x:c>
      <x:c r="B1" s="5" t="str">
        <x:v>Topic</x:v>
      </x:c>
      <x:c r="C1" s="5" t="str">
        <x:v>Operational rule</x:v>
      </x:c>
      <x:c r="D1" s="5" t="str">
        <x:v>Purpose</x:v>
      </x:c>
    </x:row>
    <x:row r="2" ht="28" customHeight="1">
      <x:c r="A2" s="6" t="str">
        <x:v>U1</x:v>
      </x:c>
      <x:c r="B2" s="2" t="str">
        <x:v>Analysis unit</x:v>
      </x:c>
      <x:c r="C2" s="6" t="str">
        <x:v>One model use in one LLM operation, or one directly related configuration feature.</x:v>
      </x:c>
      <x:c r="D2" s="2" t="str">
        <x:v>Prevents repeated prompt variants from being treated as independent studies.</x:v>
      </x:c>
    </x:row>
    <x:row r="3" ht="42" customHeight="1">
      <x:c r="A3" s="6" t="str">
        <x:v>N1</x:v>
      </x:c>
      <x:c r="B3" s="2" t="str">
        <x:v>Normalization</x:v>
      </x:c>
      <x:c r="C3" s="6" t="str">
        <x:v>Original values are retained. Normalized family, model/version, configuration category, and strategy are added as separate fields.</x:v>
      </x:c>
      <x:c r="D3" s="2" t="str">
        <x:v>Preserves the evidence trail while enabling synthesis.</x:v>
      </x:c>
    </x:row>
    <x:row r="4" ht="70" customHeight="1">
      <x:c r="A4" s="6" t="str">
        <x:v>B1</x:v>
      </x:c>
      <x:c r="B4" s="2" t="str">
        <x:v>RQ4/RQ5 boundary</x:v>
      </x:c>
      <x:c r="C4" s="6" t="str">
        <x:v>Model identity, prompt, model-side context construction, output instruction, and invocation parameter remain in RQ4. External orchestration, retrieval components, validators, and workflow controllers are analysed in RQ5.</x:v>
      </x:c>
      <x:c r="D4" s="2" t="str">
        <x:v>Avoids double counting technical mechanisms.</x:v>
      </x:c>
    </x:row>
    <x:row r="5" ht="56" customHeight="1">
      <x:c r="A5" s="6" t="str">
        <x:v>M1</x:v>
      </x:c>
      <x:c r="B5" s="2" t="str">
        <x:v>Model identification</x:v>
      </x:c>
      <x:c r="C5" s="6" t="str">
        <x:v>Reported when every model use has an identifiable model or service configuration; partially reported when only a subset or generic service label is available; NR when no model is identifiable.</x:v>
      </x:c>
      <x:c r="D5" s="2" t="str">
        <x:v>Evaluates whether the target model can be located and distinguished from other configurations.</x:v>
      </x:c>
    </x:row>
    <x:row r="6" ht="70" customHeight="1">
      <x:c r="A6" s="6" t="str">
        <x:v>M2</x:v>
      </x:c>
      <x:c r="B6" s="2" t="str">
        <x:v>Access and deployment</x:v>
      </x:c>
      <x:c r="C6" s="6" t="str">
        <x:v>Reported when access class, API/local or deployment mode, and temporal anchoring are available for all model uses; partially reported when at least one condition is available; NR when none are available.</x:v>
      </x:c>
      <x:c r="D6" s="2" t="str">
        <x:v>Captures availability and persistence conditions for the execution context.</x:v>
      </x:c>
    </x:row>
    <x:row r="7" ht="70" customHeight="1">
      <x:c r="A7" s="6" t="str">
        <x:v>M3</x:v>
      </x:c>
      <x:c r="B7" s="2" t="str">
        <x:v>Prompt and context specification</x:v>
      </x:c>
      <x:c r="C7" s="6" t="str">
        <x:v>Reported when all relevant records provide full prompt text or a reusable template together with relevant context construction; partially reported when only partial descriptions are available; NR when no usable input description is reported.</x:v>
      </x:c>
      <x:c r="D7" s="2" t="str">
        <x:v>Separates a mention of prompting from a reusable input specification.</x:v>
      </x:c>
    </x:row>
    <x:row r="8" ht="56" customHeight="1">
      <x:c r="A8" s="6" t="str">
        <x:v>M4</x:v>
      </x:c>
      <x:c r="B8" s="2" t="str">
        <x:v>Invocation and stochasticity controls</x:v>
      </x:c>
      <x:c r="C8" s="6" t="str">
        <x:v>Reported when temperature, repetition design, and random-seed applicability are available for all model uses; partially reported when at least one control is reported; NR when none are available.</x:v>
      </x:c>
      <x:c r="D8" s="2" t="str">
        <x:v>Captures parameters that affect repeated or stochastic invocation.</x:v>
      </x:c>
    </x:row>
    <x:row r="9" ht="84" customHeight="1">
      <x:c r="A9" s="6" t="str">
        <x:v>M5</x:v>
      </x:c>
      <x:c r="B9" s="2" t="str">
        <x:v>Parameter adaptation</x:v>
      </x:c>
      <x:c r="C9" s="6" t="str">
        <x:v>Reported or partially reported only when model parameters are adapted and the adapted state and training details are described. NA is used for inference-only studies; fine-tuning is not inferred from prompting, retrieval augmentation, or hidden-layer representation extraction.</x:v>
      </x:c>
      <x:c r="D9" s="2" t="str">
        <x:v>Keeps inference-time configuration separate from parameter adaptation.</x:v>
      </x:c>
    </x:row>
    <x:row r="10" ht="42" customHeight="1">
      <x:c r="A10" s="6" t="str">
        <x:v>S1</x:v>
      </x:c>
      <x:c r="B10" s="2" t="str">
        <x:v>Status interpretation</x:v>
      </x:c>
      <x:c r="C10" s="6" t="str">
        <x:v>Reported, Partially reported, NR, and NA are reported separately. No composite configuration or reproducibility score is constructed.</x:v>
      </x:c>
      <x:c r="D10" s="2" t="str">
        <x:v>Avoids assigning an unsupported weight to heterogeneous reporting attributes.</x:v>
      </x:c>
    </x:row>
    <x:row r="11" ht="42" customHeight="1">
      <x:c r="A11" s="6" t="str">
        <x:v>C1</x:v>
      </x:c>
      <x:c r="B11" s="2" t="str">
        <x:v>Counting</x:v>
      </x:c>
      <x:c r="C11" s="6" t="str">
        <x:v>Model distributions use model-use records. Configuration reporting coverage uses distinct studies unless explicitly labelled otherwise.</x:v>
      </x:c>
      <x:c r="D11" s="2" t="str">
        <x:v>Separates implementation frequency from evidence coverage.</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20" hidden="0" customWidth="1"/>
    <x:col min="3" max="3" width="52" hidden="0" customWidth="1"/>
    <x:col min="4" max="4" width="52" hidden="0" customWidth="1"/>
    <x:col min="5" max="5" width="20" hidden="0" customWidth="1"/>
  </x:cols>
  <x:sheetData>
    <x:row r="1" ht="38" customHeight="1">
      <x:c r="A1" s="5" t="str">
        <x:v>study_id</x:v>
      </x:c>
      <x:c r="B1" s="5" t="str">
        <x:v>citation_key</x:v>
      </x:c>
      <x:c r="C1" s="5" t="str">
        <x:v>resource_type</x:v>
      </x:c>
      <x:c r="D1" s="5" t="str">
        <x:v>access_location</x:v>
      </x:c>
      <x:c r="E1" s="5" t="str">
        <x:v>access_status</x:v>
      </x:c>
    </x:row>
    <x:row r="2" ht="23" customHeight="1">
      <x:c r="A2" s="2" t="str">
        <x:v>S01</x:v>
      </x:c>
      <x:c r="B2" s="2" t="str">
        <x:v>merged_0002</x:v>
      </x:c>
      <x:c r="C2" s="6" t="str">
        <x:v>Replication package</x:v>
      </x:c>
      <x:c r="D2" s="6" t="str">
        <x:v>https://doi.org/10.5281/zenodo.14714706</x:v>
      </x:c>
      <x:c r="E2" s="2" t="str">
        <x:v>Public</x:v>
      </x:c>
    </x:row>
    <x:row r="3" ht="28" customHeight="1">
      <x:c r="A3" s="2" t="str">
        <x:v>S02</x:v>
      </x:c>
      <x:c r="B3" s="2" t="str">
        <x:v>merged_0007</x:v>
      </x:c>
      <x:c r="C3" s="6" t="str">
        <x:v>Replication package</x:v>
      </x:c>
      <x:c r="D3" s="6" t="str">
        <x:v>https://figshare.com/s/d061a78ccc60eb7dff22; https://doi.org/10.5281/ZENODO.14506935</x:v>
      </x:c>
      <x:c r="E3" s="2" t="str">
        <x:v>Public</x:v>
      </x:c>
    </x:row>
    <x:row r="4" ht="28" customHeight="1">
      <x:c r="A4" s="2" t="str">
        <x:v>S03</x:v>
      </x:c>
      <x:c r="B4" s="2" t="str">
        <x:v>merged_0014</x:v>
      </x:c>
      <x:c r="C4" s="6" t="str">
        <x:v>Dataset</x:v>
      </x:c>
      <x:c r="D4" s="6" t="str">
        <x:v>https://www.csa.iisc.ac.in/~raghavan/icsme2016/; https://sourceforge.net/projects/jallinone/</x:v>
      </x:c>
      <x:c r="E4" s="2" t="str">
        <x:v>Public</x:v>
      </x:c>
    </x:row>
    <x:row r="5" ht="23" customHeight="1">
      <x:c r="A5" s="2" t="str">
        <x:v>S04</x:v>
      </x:c>
      <x:c r="B5" s="2" t="str">
        <x:v>merged_0075</x:v>
      </x:c>
      <x:c r="C5" s="6" t="str">
        <x:v>--</x:v>
      </x:c>
      <x:c r="D5" s="6" t="str">
        <x:v>--</x:v>
      </x:c>
      <x:c r="E5" s="2" t="str">
        <x:v>Not reported</x:v>
      </x:c>
    </x:row>
    <x:row r="6" ht="28" customHeight="1">
      <x:c r="A6" s="2" t="str">
        <x:v>S05</x:v>
      </x:c>
      <x:c r="B6" s="2" t="str">
        <x:v>merged_0077</x:v>
      </x:c>
      <x:c r="C6" s="6" t="str">
        <x:v>Replication package</x:v>
      </x:c>
      <x:c r="D6" s="6" t="str">
        <x:v>https://github.com/Alor-e/evaluating-llm-doc-code-traceability</x:v>
      </x:c>
      <x:c r="E6" s="2" t="str">
        <x:v>Public</x:v>
      </x:c>
    </x:row>
    <x:row r="7" ht="23" customHeight="1">
      <x:c r="A7" s="2" t="str">
        <x:v>S06</x:v>
      </x:c>
      <x:c r="B7" s="2" t="str">
        <x:v>merged_0079</x:v>
      </x:c>
      <x:c r="C7" s="6" t="str">
        <x:v>Replication package</x:v>
      </x:c>
      <x:c r="D7" s="6" t="str">
        <x:v>https://figshare.com/s/4cefb94b0a1817f2c1bb</x:v>
      </x:c>
      <x:c r="E7" s="2" t="str">
        <x:v>Public</x:v>
      </x:c>
    </x:row>
    <x:row r="8" ht="23" customHeight="1">
      <x:c r="A8" s="2" t="str">
        <x:v>S07</x:v>
      </x:c>
      <x:c r="B8" s="2" t="str">
        <x:v>merged_0110</x:v>
      </x:c>
      <x:c r="C8" s="6" t="str">
        <x:v>Replication package</x:v>
      </x:c>
      <x:c r="D8" s="6" t="str">
        <x:v>https://github.com/BaoLindgren/REST-at/</x:v>
      </x:c>
      <x:c r="E8" s="2" t="str">
        <x:v>Public</x:v>
      </x:c>
    </x:row>
    <x:row r="9" ht="23" customHeight="1">
      <x:c r="A9" s="2" t="str">
        <x:v>S08</x:v>
      </x:c>
      <x:c r="B9" s="2" t="str">
        <x:v>merged_0256</x:v>
      </x:c>
      <x:c r="C9" s="6" t="str">
        <x:v>Replication package</x:v>
      </x:c>
      <x:c r="D9" s="6" t="str">
        <x:v>https://doi.org/10.5281/zenodo.10149490</x:v>
      </x:c>
      <x:c r="E9" s="2" t="str">
        <x:v>Public</x:v>
      </x:c>
    </x:row>
    <x:row r="10" ht="23" customHeight="1">
      <x:c r="A10" s="2" t="str">
        <x:v>S09</x:v>
      </x:c>
      <x:c r="B10" s="2" t="str">
        <x:v>merged_1114</x:v>
      </x:c>
      <x:c r="C10" s="6" t="str">
        <x:v>--</x:v>
      </x:c>
      <x:c r="D10" s="6" t="str">
        <x:v>--</x:v>
      </x:c>
      <x:c r="E10" s="2" t="str">
        <x:v>Not reported</x:v>
      </x:c>
    </x:row>
    <x:row r="11" ht="23" customHeight="1">
      <x:c r="A11" s="2" t="str">
        <x:v>S10</x:v>
      </x:c>
      <x:c r="B11" s="2" t="str">
        <x:v>merged_1119</x:v>
      </x:c>
      <x:c r="C11" s="6" t="str">
        <x:v>Replication package</x:v>
      </x:c>
      <x:c r="D11" s="6" t="str">
        <x:v>https://figshare.com/s/3b9673176afe92929398</x:v>
      </x:c>
      <x:c r="E11" s="2" t="str">
        <x:v>Public</x:v>
      </x:c>
    </x:row>
    <x:row r="12" ht="23" customHeight="1">
      <x:c r="A12" s="2" t="str">
        <x:v>S11</x:v>
      </x:c>
      <x:c r="B12" s="2" t="str">
        <x:v>merged_1121</x:v>
      </x:c>
      <x:c r="C12" s="6" t="str">
        <x:v>--</x:v>
      </x:c>
      <x:c r="D12" s="6" t="str">
        <x:v>--</x:v>
      </x:c>
      <x:c r="E12" s="2" t="str">
        <x:v>Not reported</x:v>
      </x:c>
    </x:row>
    <x:row r="13" ht="28" customHeight="1">
      <x:c r="A13" s="2" t="str">
        <x:v>S12</x:v>
      </x:c>
      <x:c r="B13" s="2" t="str">
        <x:v>merged_1133</x:v>
      </x:c>
      <x:c r="C13" s="6" t="str">
        <x:v>Dataset; Replication package</x:v>
      </x:c>
      <x:c r="D13" s="6" t="str">
        <x:v>https://anonymous.4open.science/r/TraceLLM-4C72/; http://sarec.nd.edu/coest/datasets/EasyClinic.zip</x:v>
      </x:c>
      <x:c r="E13" s="2" t="str">
        <x:v>Public</x:v>
      </x:c>
    </x:row>
    <x:row r="14" ht="23" customHeight="1">
      <x:c r="A14" s="2" t="str">
        <x:v>S13</x:v>
      </x:c>
      <x:c r="B14" s="2" t="str">
        <x:v>merged_1140</x:v>
      </x:c>
      <x:c r="C14" s="6" t="str">
        <x:v>Replication package</x:v>
      </x:c>
      <x:c r="D14" s="6" t="str">
        <x:v>https://figshare.com/s/db6b8b237d0fddfbdd30</x:v>
      </x:c>
      <x:c r="E14" s="2" t="str">
        <x:v>Public</x:v>
      </x:c>
    </x:row>
    <x:row r="15" ht="28" customHeight="1">
      <x:c r="A15" s="2" t="str">
        <x:v>S14</x:v>
      </x:c>
      <x:c r="B15" s="2" t="str">
        <x:v>merged_1142</x:v>
      </x:c>
      <x:c r="C15" s="6" t="str">
        <x:v>Prompt; Replication package</x:v>
      </x:c>
      <x:c r="D15" s="6" t="str">
        <x:v>https://github.com/ZZYG0g0g0/NLPL-TLR; embedded in paper</x:v>
      </x:c>
      <x:c r="E15" s="2" t="str">
        <x:v>Public</x:v>
      </x:c>
    </x:row>
    <x:row r="16" ht="23" customHeight="1">
      <x:c r="A16" s="2" t="str">
        <x:v>S15</x:v>
      </x:c>
      <x:c r="B16" s="2" t="str">
        <x:v>merged_1143</x:v>
      </x:c>
      <x:c r="C16" s="6" t="str">
        <x:v>Replication package</x:v>
      </x:c>
      <x:c r="D16" s="6" t="str">
        <x:v>https://github.com/cmu-relab/goalgeneration</x:v>
      </x:c>
      <x:c r="E16" s="2" t="str">
        <x:v>Public</x:v>
      </x:c>
    </x:row>
    <x:row r="17" ht="23" customHeight="1">
      <x:c r="A17" s="2" t="str">
        <x:v>S16</x:v>
      </x:c>
      <x:c r="B17" s="2" t="str">
        <x:v>merged_1144</x:v>
      </x:c>
      <x:c r="C17" s="6" t="str">
        <x:v>Replication package</x:v>
      </x:c>
      <x:c r="D17" s="6" t="str">
        <x:v>https://figshare.com/s/d495f11c4cc5c1c72e68</x:v>
      </x:c>
      <x:c r="E17" s="2" t="str">
        <x:v>Public</x:v>
      </x:c>
    </x:row>
    <x:row r="18" ht="23" customHeight="1">
      <x:c r="A18" s="2" t="str">
        <x:v>S17</x:v>
      </x:c>
      <x:c r="B18" s="2" t="str">
        <x:v>merged_1148</x:v>
      </x:c>
      <x:c r="C18" s="6" t="str">
        <x:v>Code</x:v>
      </x:c>
      <x:c r="D18" s="6" t="str">
        <x:v>https://github.com/blueskysolarracing/stpa</x:v>
      </x:c>
      <x:c r="E18" s="2" t="str">
        <x:v>Public</x:v>
      </x:c>
    </x:row>
    <x:row r="19" ht="23" customHeight="1">
      <x:c r="A19" s="2" t="str">
        <x:v>S18</x:v>
      </x:c>
      <x:c r="B19" s="2" t="str">
        <x:v>merged_1149</x:v>
      </x:c>
      <x:c r="C19" s="6" t="str">
        <x:v>Replication package</x:v>
      </x:c>
      <x:c r="D19" s="6" t="str">
        <x:v>https://figshare.com/s/769b925bd426285e463b</x:v>
      </x:c>
      <x:c r="E19" s="2" t="str">
        <x:v>Public</x:v>
      </x:c>
    </x:row>
    <x:row r="20" ht="23" customHeight="1">
      <x:c r="A20" s="2" t="str">
        <x:v>S19</x:v>
      </x:c>
      <x:c r="B20" s="2" t="str">
        <x:v>merged_1150</x:v>
      </x:c>
      <x:c r="C20" s="6" t="str">
        <x:v>Replication package</x:v>
      </x:c>
      <x:c r="D20" s="6" t="str">
        <x:v>https://doi.org/10.6084/m9.figshare.27153441</x:v>
      </x:c>
      <x:c r="E20" s="2" t="str">
        <x:v>Public</x:v>
      </x:c>
    </x:row>
    <x:row r="21" ht="23" customHeight="1">
      <x:c r="A21" s="2" t="str">
        <x:v>S20</x:v>
      </x:c>
      <x:c r="B21" s="2" t="str">
        <x:v>merged_1151</x:v>
      </x:c>
      <x:c r="C21" s="6" t="str">
        <x:v>--</x:v>
      </x:c>
      <x:c r="D21" s="6" t="str">
        <x:v>--</x:v>
      </x:c>
      <x:c r="E21" s="2" t="str">
        <x:v>Not reported</x:v>
      </x:c>
    </x:row>
    <x:row r="22" ht="23" customHeight="1">
      <x:c r="A22" s="2" t="str">
        <x:v>S21</x:v>
      </x:c>
      <x:c r="B22" s="2" t="str">
        <x:v>merged_1152</x:v>
      </x:c>
      <x:c r="C22" s="6" t="str">
        <x:v>--</x:v>
      </x:c>
      <x:c r="D22" s="6" t="str">
        <x:v>--</x:v>
      </x:c>
      <x:c r="E22" s="2" t="str">
        <x:v>Not reported</x:v>
      </x:c>
    </x:row>
    <x:row r="23" ht="23" customHeight="1">
      <x:c r="A23" s="2" t="str">
        <x:v>S22</x:v>
      </x:c>
      <x:c r="B23" s="2" t="str">
        <x:v>merged_1154</x:v>
      </x:c>
      <x:c r="C23" s="6" t="str">
        <x:v>--</x:v>
      </x:c>
      <x:c r="D23" s="6" t="str">
        <x:v>--</x:v>
      </x:c>
      <x:c r="E23" s="2" t="str">
        <x:v>Not reported</x:v>
      </x:c>
    </x:row>
    <x:row r="24" ht="23" customHeight="1">
      <x:c r="A24" s="2" t="str">
        <x:v>S23</x:v>
      </x:c>
      <x:c r="B24" s="2" t="str">
        <x:v>merged_1156</x:v>
      </x:c>
      <x:c r="C24" s="6" t="str">
        <x:v>--</x:v>
      </x:c>
      <x:c r="D24" s="6" t="str">
        <x:v>--</x:v>
      </x:c>
      <x:c r="E24" s="2" t="str">
        <x:v>Not reported</x:v>
      </x:c>
    </x:row>
    <x:row r="25" ht="23" customHeight="1">
      <x:c r="A25" s="2" t="str">
        <x:v>S24</x:v>
      </x:c>
      <x:c r="B25" s="2" t="str">
        <x:v>merged_1172</x:v>
      </x:c>
      <x:c r="C25" s="6" t="str">
        <x:v>Prompt</x:v>
      </x:c>
      <x:c r="D25" s="6" t="str">
        <x:v>Embedded in appendix</x:v>
      </x:c>
      <x:c r="E25" s="2" t="str">
        <x:v>Public</x:v>
      </x:c>
    </x:row>
    <x:row r="26" ht="23" customHeight="1">
      <x:c r="A26" s="2" t="str">
        <x:v>S25</x:v>
      </x:c>
      <x:c r="B26" s="2" t="str">
        <x:v>merged_1185</x:v>
      </x:c>
      <x:c r="C26" s="6" t="str">
        <x:v>--</x:v>
      </x:c>
      <x:c r="D26" s="6" t="str">
        <x:v>--</x:v>
      </x:c>
      <x:c r="E26" s="2" t="str">
        <x:v>Not reported</x:v>
      </x:c>
    </x:row>
    <x:row r="27" ht="23" customHeight="1">
      <x:c r="A27" s="2" t="str">
        <x:v>S26</x:v>
      </x:c>
      <x:c r="B27" s="2" t="str">
        <x:v>merged_1212</x:v>
      </x:c>
      <x:c r="C27" s="6" t="str">
        <x:v>--</x:v>
      </x:c>
      <x:c r="D27" s="6" t="str">
        <x:v>--</x:v>
      </x:c>
      <x:c r="E27" s="2" t="str">
        <x:v>Not reported</x:v>
      </x:c>
    </x:row>
    <x:row r="28" ht="23" customHeight="1">
      <x:c r="A28" s="2" t="str">
        <x:v>S27</x:v>
      </x:c>
      <x:c r="B28" s="2" t="str">
        <x:v>merged_1213</x:v>
      </x:c>
      <x:c r="C28" s="6" t="str">
        <x:v>Replication package</x:v>
      </x:c>
      <x:c r="D28" s="6" t="str">
        <x:v>https://zenodo.org/doi/10.5281/zenodo.15837231</x:v>
      </x:c>
      <x:c r="E28" s="2" t="str">
        <x:v>Public</x:v>
      </x:c>
    </x:row>
    <x:row r="29" ht="23" customHeight="1">
      <x:c r="A29" s="2" t="str">
        <x:v>S28</x:v>
      </x:c>
      <x:c r="B29" s="2" t="str">
        <x:v>merged_1214</x:v>
      </x:c>
      <x:c r="C29" s="6" t="str">
        <x:v>Code</x:v>
      </x:c>
      <x:c r="D29" s="6" t="str">
        <x:v>https://github.com/junaidiiith/nl2codeTrace</x:v>
      </x:c>
      <x:c r="E29" s="2" t="str">
        <x:v>Public</x:v>
      </x:c>
    </x:row>
    <x:row r="30" ht="23" customHeight="1">
      <x:c r="A30" s="2" t="str">
        <x:v>S29</x:v>
      </x:c>
      <x:c r="B30" s="2" t="str">
        <x:v>merged_1215</x:v>
      </x:c>
      <x:c r="C30" s="6" t="str">
        <x:v>Replication package</x:v>
      </x:c>
      <x:c r="D30" s="6" t="str">
        <x:v>https://github.com/feifeiniu-se/TVR</x:v>
      </x:c>
      <x:c r="E30" s="2" t="str">
        <x:v>Public</x:v>
      </x:c>
    </x:row>
    <x:row r="31" ht="56" customHeight="1">
      <x:c r="A31" s="2" t="str">
        <x:v>S30</x:v>
      </x:c>
      <x:c r="B31" s="2" t="str">
        <x:v>merged_1218</x:v>
      </x:c>
      <x:c r="C31" s="6" t="str">
        <x:v>Code; Dataset; Replication package</x:v>
      </x:c>
      <x:c r="D31" s="6" t="str">
        <x:v>https://doi.org/10.5281/zenodo.15804044; https://gist.githubusercontent.com/tomasonjo/08dc8ba0e19d592c4c3cde40dd6abcc3/raw/e90b0c9386bf8be15b199e8ac8f83fc265a2ac57/microservices.json</x:v>
      </x:c>
      <x:c r="E31" s="2" t="str">
        <x:v>Public</x:v>
      </x:c>
    </x:row>
    <x:row r="32" ht="23" customHeight="1">
      <x:c r="A32" s="2" t="str">
        <x:v>S31</x:v>
      </x:c>
      <x:c r="B32" s="2" t="str">
        <x:v>merged_1219</x:v>
      </x:c>
      <x:c r="C32" s="6" t="str">
        <x:v>--</x:v>
      </x:c>
      <x:c r="D32" s="6" t="str">
        <x:v>--</x:v>
      </x:c>
      <x:c r="E32" s="2" t="str">
        <x:v>Not reported</x:v>
      </x:c>
    </x:row>
    <x:row r="33" ht="23" customHeight="1">
      <x:c r="A33" s="2" t="str">
        <x:v>S32</x:v>
      </x:c>
      <x:c r="B33" s="2" t="str">
        <x:v>merged_1220</x:v>
      </x:c>
      <x:c r="C33" s="6" t="str">
        <x:v>--</x:v>
      </x:c>
      <x:c r="D33" s="6" t="str">
        <x:v>--</x:v>
      </x:c>
      <x:c r="E33" s="2" t="str">
        <x:v>Not reported</x:v>
      </x:c>
    </x:row>
    <x:row r="34" ht="23" customHeight="1">
      <x:c r="A34" s="2" t="str">
        <x:v>S33</x:v>
      </x:c>
      <x:c r="B34" s="2" t="str">
        <x:v>merged_1222</x:v>
      </x:c>
      <x:c r="C34" s="6" t="str">
        <x:v>Code (plugin)</x:v>
      </x:c>
      <x:c r="D34" s="6" t="str">
        <x:v>Mentioned, no link</x:v>
      </x:c>
      <x:c r="E34" s="2" t="str">
        <x:v>Mentioned, no URL</x:v>
      </x:c>
    </x:row>
    <x:row r="35" ht="28" customHeight="1">
      <x:c r="A35" s="2" t="str">
        <x:v>S34</x:v>
      </x:c>
      <x:c r="B35" s="2" t="str">
        <x:v>merged_1224</x:v>
      </x:c>
      <x:c r="C35" s="6" t="str">
        <x:v>Replication package</x:v>
      </x:c>
      <x:c r="D35" s="6" t="str">
        <x:v>https://github.com/Djaber1979/-Behavioral-Augmentation-of-UML-Class-Diagrams</x:v>
      </x:c>
      <x:c r="E35" s="2" t="str">
        <x:v>Public</x:v>
      </x:c>
    </x:row>
    <x:row r="36" ht="42" customHeight="1">
      <x:c r="A36" s="2" t="str">
        <x:v>S35</x:v>
      </x:c>
      <x:c r="B36" s="2" t="str">
        <x:v>merged_1225</x:v>
      </x:c>
      <x:c r="C36" s="6" t="str">
        <x:v>Dataset</x:v>
      </x:c>
      <x:c r="D36" s="6" t="str">
        <x:v>https://github.com/uclibs/ucrate/tree/develop/spec/features; https://github.com/uclibs/scholar_use_cases</x:v>
      </x:c>
      <x:c r="E36" s="2" t="str">
        <x:v>Public</x:v>
      </x:c>
    </x:row>
    <x:row r="37" ht="23" customHeight="1">
      <x:c r="A37" s="2" t="str">
        <x:v>S36</x:v>
      </x:c>
      <x:c r="B37" s="2" t="str">
        <x:v>merged_1236</x:v>
      </x:c>
      <x:c r="C37" s="6" t="str">
        <x:v>Code</x:v>
      </x:c>
      <x:c r="D37" s="6" t="str">
        <x:v>https://github.com/barandincoguz/DDD-Enforcer</x:v>
      </x:c>
      <x:c r="E37" s="2" t="str">
        <x:v>Public</x:v>
      </x:c>
    </x:row>
    <x:row r="38" ht="42" customHeight="1">
      <x:c r="A38" s="2" t="str">
        <x:v>S37</x:v>
      </x:c>
      <x:c r="B38" s="2" t="str">
        <x:v>merged_1238</x:v>
      </x:c>
      <x:c r="C38" s="6" t="str">
        <x:v>Code; Dataset; Prompt; Tool</x:v>
      </x:c>
      <x:c r="D38" s="6" t="str">
        <x:v>Embedded in paper; https://github.com/xhluca/bm25s; https://github.com/taoxiaotao6/bpmn_converter; https://bpmn.io/toolkit/bPMn-js/; on request</x:v>
      </x:c>
      <x:c r="E38" s="2" t="str">
        <x:v>Public; request required</x:v>
      </x:c>
    </x:row>
    <x:row r="39" ht="28" customHeight="1">
      <x:c r="A39" s="2" t="str">
        <x:v>S38</x:v>
      </x:c>
      <x:c r="B39" s="2" t="str">
        <x:v>merged_1241</x:v>
      </x:c>
      <x:c r="C39" s="6" t="str">
        <x:v>Dataset</x:v>
      </x:c>
      <x:c r="D39" s="6" t="str">
        <x:v>https://github.com/jiangyili446/LusGen-Benchmark.git</x:v>
      </x:c>
      <x:c r="E39" s="2" t="str">
        <x:v>Public</x:v>
      </x:c>
    </x:row>
    <x:row r="40" ht="23" customHeight="1">
      <x:c r="A40" s="2" t="str">
        <x:v>S39</x:v>
      </x:c>
      <x:c r="B40" s="2" t="str">
        <x:v>merged_1245</x:v>
      </x:c>
      <x:c r="C40" s="6" t="str">
        <x:v>--</x:v>
      </x:c>
      <x:c r="D40" s="6" t="str">
        <x:v>--</x:v>
      </x:c>
      <x:c r="E40" s="2" t="str">
        <x:v>Not reported</x:v>
      </x:c>
    </x:row>
    <x:row r="41" ht="28" customHeight="1">
      <x:c r="A41" s="2" t="str">
        <x:v>S40</x:v>
      </x:c>
      <x:c r="B41" s="2" t="str">
        <x:v>merged_1263</x:v>
      </x:c>
      <x:c r="C41" s="6" t="str">
        <x:v>Code; Dataset</x:v>
      </x:c>
      <x:c r="D41" s="6" t="str">
        <x:v>Third-party benchmarks (SMOS, ETOUR, ITRUST, and DRONOLOGY); code on request</x:v>
      </x:c>
      <x:c r="E41" s="2" t="str">
        <x:v>Public; request required</x:v>
      </x:c>
    </x:row>
    <x:row r="42" ht="23" customHeight="1">
      <x:c r="A42" s="2" t="str">
        <x:v>S41</x:v>
      </x:c>
      <x:c r="B42" s="2" t="str">
        <x:v>merged_1264</x:v>
      </x:c>
      <x:c r="C42" s="6" t="str">
        <x:v>Replication package</x:v>
      </x:c>
      <x:c r="D42" s="6" t="str">
        <x:v>https://zenodo.org/records/17313282</x:v>
      </x:c>
      <x:c r="E42" s="2" t="str">
        <x:v>Public</x:v>
      </x:c>
    </x:row>
    <x:row r="43" ht="23" customHeight="1">
      <x:c r="A43" s="2" t="str">
        <x:v>S42</x:v>
      </x:c>
      <x:c r="B43" s="2" t="str">
        <x:v>merged_1266</x:v>
      </x:c>
      <x:c r="C43" s="6" t="str">
        <x:v>Replication package</x:v>
      </x:c>
      <x:c r="D43" s="6" t="str">
        <x:v>https://doi.org/10.5281/zenodo.14779457</x:v>
      </x:c>
      <x:c r="E43" s="2" t="str">
        <x:v>Public</x:v>
      </x:c>
    </x:row>
    <x:row r="44" ht="23" customHeight="1">
      <x:c r="A44" s="2" t="str">
        <x:v>S43</x:v>
      </x:c>
      <x:c r="B44" s="2" t="str">
        <x:v>merged_1270</x:v>
      </x:c>
      <x:c r="C44" s="6" t="str">
        <x:v>Code</x:v>
      </x:c>
      <x:c r="D44" s="6" t="str">
        <x:v>https://anonymous.4open.science/r/APSEC-5865/</x:v>
      </x:c>
      <x:c r="E44" s="2" t="str">
        <x:v>Public</x:v>
      </x:c>
    </x:row>
    <x:row r="45" ht="23" customHeight="1">
      <x:c r="A45" s="2" t="str">
        <x:v>S44</x:v>
      </x:c>
      <x:c r="B45" s="2" t="str">
        <x:v>merged_1274</x:v>
      </x:c>
      <x:c r="C45" s="6" t="str">
        <x:v>Dataset</x:v>
      </x:c>
      <x:c r="D45" s="6" t="str">
        <x:v>http://sarec.nd.edu/coest/datasets.html</x:v>
      </x:c>
      <x:c r="E45" s="2" t="str">
        <x:v>Public</x:v>
      </x:c>
    </x:row>
    <x:row r="46" ht="28" customHeight="1">
      <x:c r="A46" s="2" t="str">
        <x:v>S45</x:v>
      </x:c>
      <x:c r="B46" s="2" t="str">
        <x:v>merged_1275</x:v>
      </x:c>
      <x:c r="C46" s="6" t="str">
        <x:v>Replication package</x:v>
      </x:c>
      <x:c r="D46" s="6" t="str">
        <x:v>https://github.com/VibhaHippargi/CaseStudyonChatGPTforRE</x:v>
      </x:c>
      <x:c r="E46" s="2" t="str">
        <x:v>Public</x:v>
      </x:c>
    </x:row>
    <x:row r="47" ht="23" customHeight="1">
      <x:c r="A47" s="2" t="str">
        <x:v>S46</x:v>
      </x:c>
      <x:c r="B47" s="2" t="str">
        <x:v>merged_1293</x:v>
      </x:c>
      <x:c r="C47" s="6" t="str">
        <x:v>Replication package</x:v>
      </x:c>
      <x:c r="D47" s="6" t="str">
        <x:v>GitHub mentioned, no URL given</x:v>
      </x:c>
      <x:c r="E47" s="2" t="str">
        <x:v>Mentioned, no URL</x:v>
      </x:c>
    </x:row>
    <x:row r="48" ht="23" customHeight="1">
      <x:c r="A48" s="2" t="str">
        <x:v>S47</x:v>
      </x:c>
      <x:c r="B48" s="2" t="str">
        <x:v>merged_1302</x:v>
      </x:c>
      <x:c r="C48" s="6" t="str">
        <x:v>--</x:v>
      </x:c>
      <x:c r="D48" s="6" t="str">
        <x:v>--</x:v>
      </x:c>
      <x:c r="E48" s="2" t="str">
        <x:v>Not reported</x:v>
      </x:c>
    </x:row>
    <x:row r="49" ht="23" customHeight="1">
      <x:c r="A49" s="2" t="str">
        <x:v>S48</x:v>
      </x:c>
      <x:c r="B49" s="2" t="str">
        <x:v>merged_1441</x:v>
      </x:c>
      <x:c r="C49" s="6" t="str">
        <x:v>Replication package</x:v>
      </x:c>
      <x:c r="D49" s="6" t="str">
        <x:v>https://github.com/rain-so/LHGLink</x:v>
      </x:c>
      <x:c r="E49" s="2" t="str">
        <x:v>Public</x:v>
      </x:c>
    </x:row>
    <x:row r="50" ht="23" customHeight="1">
      <x:c r="A50" s="2" t="str">
        <x:v>S49</x:v>
      </x:c>
      <x:c r="B50" s="2" t="str">
        <x:v>merged_1486</x:v>
      </x:c>
      <x:c r="C50" s="6" t="str">
        <x:v>Code</x:v>
      </x:c>
      <x:c r="D50" s="6" t="str">
        <x:v>https://github.com/beatrizcabdan/GenAI4REtasks</x:v>
      </x:c>
      <x:c r="E50" s="2" t="str">
        <x:v>Public</x:v>
      </x:c>
    </x:row>
    <x:row r="51" ht="23" customHeight="1">
      <x:c r="A51" s="2" t="str">
        <x:v>S50</x:v>
      </x:c>
      <x:c r="B51" s="2" t="str">
        <x:v>snowball_00068</x:v>
      </x:c>
      <x:c r="C51" s="6" t="str">
        <x:v>Replication package</x:v>
      </x:c>
      <x:c r="D51" s="6" t="str">
        <x:v>Not publicly available</x:v>
      </x:c>
      <x:c r="E51" s="2" t="str">
        <x:v>Private</x:v>
      </x:c>
    </x:row>
    <x:row r="52" ht="28" customHeight="1">
      <x:c r="A52" s="2" t="str">
        <x:v>S51</x:v>
      </x:c>
      <x:c r="B52" s="2" t="str">
        <x:v>snowball_00085</x:v>
      </x:c>
      <x:c r="C52" s="6" t="str">
        <x:v>Replication package</x:v>
      </x:c>
      <x:c r="D52" s="6" t="str">
        <x:v>https://github.com/lreinpold/ONCON24_Requirements_Verification_by_LLM</x:v>
      </x:c>
      <x:c r="E52" s="2" t="str">
        <x:v>Public</x:v>
      </x:c>
    </x:row>
    <x:row r="53" ht="23" customHeight="1">
      <x:c r="A53" s="2" t="str">
        <x:v>S52</x:v>
      </x:c>
      <x:c r="B53" s="2" t="str">
        <x:v>snowball_00095</x:v>
      </x:c>
      <x:c r="C53" s="6" t="str">
        <x:v>Supplementary material</x:v>
      </x:c>
      <x:c r="D53" s="6" t="str">
        <x:v>https://zenodo.org/records/11403244</x:v>
      </x:c>
      <x:c r="E53" s="2" t="str">
        <x:v>Public</x:v>
      </x:c>
    </x:row>
    <x:row r="54" ht="42" customHeight="1">
      <x:c r="A54" s="2" t="str">
        <x:v>S53</x:v>
      </x:c>
      <x:c r="B54" s="2" t="str">
        <x:v>merged_1229</x:v>
      </x:c>
      <x:c r="C54" s="6" t="str">
        <x:v>Replication package</x:v>
      </x:c>
      <x:c r="D54" s="6" t="str">
        <x:v>https://github.com/Ionut-Gabriel-Otelea/Evaluating-LLMs-for-Automated-Requirement-and-Test-Case-Generation-in-Railway-Signaling-Systems</x:v>
      </x:c>
      <x:c r="E54" s="2" t="str">
        <x:v>Public; not independently verified</x:v>
      </x:c>
    </x:row>
    <x:row r="55" ht="23" customHeight="1">
      <x:c r="A55" s="2" t="str">
        <x:v>G1</x:v>
      </x:c>
      <x:c r="B55" s="2" t="str">
        <x:v>G1</x:v>
      </x:c>
      <x:c r="C55" s="6" t="str">
        <x:v>--</x:v>
      </x:c>
      <x:c r="D55" s="6" t="str">
        <x:v>No resource link reported</x:v>
      </x:c>
      <x:c r="E55" s="2" t="str">
        <x:v>Not reported</x:v>
      </x:c>
    </x:row>
    <x:row r="56" ht="28" customHeight="1">
      <x:c r="A56" s="2" t="str">
        <x:v>G2</x:v>
      </x:c>
      <x:c r="B56" s="2" t="str">
        <x:v>G2</x:v>
      </x:c>
      <x:c r="C56" s="6" t="str">
        <x:v>Product and community</x:v>
      </x:c>
      <x:c r="D56" s="6" t="str">
        <x:v>https://www.verisian.com/; https://www.verisian.com/community</x:v>
      </x:c>
      <x:c r="E56" s="2" t="str">
        <x:v>Information link</x:v>
      </x:c>
    </x:row>
    <x:row r="57" ht="23" customHeight="1">
      <x:c r="A57" s="2" t="str">
        <x:v>G3</x:v>
      </x:c>
      <x:c r="B57" s="2" t="str">
        <x:v>G3</x:v>
      </x:c>
      <x:c r="C57" s="6" t="str">
        <x:v>--</x:v>
      </x:c>
      <x:c r="D57" s="6" t="str">
        <x:v>No resource link reported</x:v>
      </x:c>
      <x:c r="E57" s="2" t="str">
        <x:v>Not reported</x:v>
      </x:c>
    </x:row>
    <x:row r="58" ht="28" customHeight="1">
      <x:c r="A58" s="2" t="str">
        <x:v>G4</x:v>
      </x:c>
      <x:c r="B58" s="2" t="str">
        <x:v>G4</x:v>
      </x:c>
      <x:c r="C58" s="6" t="str">
        <x:v>Recorded webinar</x:v>
      </x:c>
      <x:c r="D58" s="6" t="str">
        <x:v>https://www.vector.com/en/product/vectorcast/vectorcast-ai/</x:v>
      </x:c>
      <x:c r="E58" s="2" t="str">
        <x:v>Information link</x:v>
      </x:c>
    </x:row>
    <x:row r="59" ht="23" customHeight="1">
      <x:c r="A59" s="2" t="str">
        <x:v>G5</x:v>
      </x:c>
      <x:c r="B59" s="2" t="str">
        <x:v>G5</x:v>
      </x:c>
      <x:c r="C59" s="6" t="str">
        <x:v>--</x:v>
      </x:c>
      <x:c r="D59" s="6" t="str">
        <x:v>No resource link reported</x:v>
      </x:c>
      <x:c r="E59" s="2" t="str">
        <x:v>Not reported</x:v>
      </x:c>
    </x:row>
    <x:row r="60" ht="23" customHeight="1">
      <x:c r="A60" s="2" t="str">
        <x:v>G6</x:v>
      </x:c>
      <x:c r="B60" s="2" t="str">
        <x:v>G6</x:v>
      </x:c>
      <x:c r="C60" s="6" t="str">
        <x:v>--</x:v>
      </x:c>
      <x:c r="D60" s="6" t="str">
        <x:v>No resource link reported</x:v>
      </x:c>
      <x:c r="E60" s="2" t="str">
        <x:v>Not reported</x:v>
      </x:c>
    </x:row>
    <x:row r="61" ht="28" customHeight="1">
      <x:c r="A61" s="2" t="str">
        <x:v>G7</x:v>
      </x:c>
      <x:c r="B61" s="2" t="str">
        <x:v>G7</x:v>
      </x:c>
      <x:c r="C61" s="6" t="str">
        <x:v>Tool and project mentioned</x:v>
      </x:c>
      <x:c r="D61" s="6" t="str">
        <x:v>https://www.ocxconf.org/; direct project link not recorded</x:v>
      </x:c>
      <x:c r="E61" s="2" t="str">
        <x:v>Information link</x:v>
      </x:c>
    </x:row>
    <x:row r="62" ht="28" customHeight="1">
      <x:c r="A62" s="2" t="str">
        <x:v>G8</x:v>
      </x:c>
      <x:c r="B62" s="2" t="str">
        <x:v>G8</x:v>
      </x:c>
      <x:c r="C62" s="6" t="str">
        <x:v>Demonstrated instance</x:v>
      </x:c>
      <x:c r="D62" s="6" t="str">
        <x:v>Demonstrated instance private; no code, data, or prompts offered</x:v>
      </x:c>
      <x:c r="E62" s="2" t="str">
        <x:v>Private instance</x:v>
      </x:c>
    </x:row>
  </x:sheetData>
  <x:pageMargins left="0.7" right="0.7" top="0.75" bottom="0.75" header="0.3" footer="0.3"/>
</x:worksheet>
</file>